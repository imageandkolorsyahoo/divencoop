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BRANCHES" sheetId="2" state="visible" r:id="rId4"/>
    <sheet name="MEMBERS" sheetId="3" state="visible" r:id="rId5"/>
    <sheet name="USERS" sheetId="4" state="visible" r:id="rId6"/>
    <sheet name="TRANSACTIONS" sheetId="5" state="visible" r:id="rId7"/>
    <sheet name="LOANS" sheetId="6" state="visible" r:id="rId8"/>
    <sheet name="LOAN_REPAYMENTS" sheetId="7" state="visible" r:id="rId9"/>
    <sheet name="GUARANTORS" sheetId="8" state="visible" r:id="rId10"/>
    <sheet name="COMMODITIES" sheetId="9" state="visible" r:id="rId11"/>
    <sheet name="SUMMARY" sheetId="10" state="visible" r:id="rId12"/>
    <sheet name="READM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<sst xmlns="http://schemas.openxmlformats.org/spreadsheetml/2006/main" count="412" uniqueCount="283">
  <si>
    <t xml:space="preserve">DIVINE GRACE COOPERATIVE MULTIPURPOSE SOCIETY LIMITED</t>
  </si>
  <si>
    <t xml:space="preserve">ADMIN SETTINGS — Control Panel   |   REG NO: LSCS 18377   |   TEL: 08038593189</t>
  </si>
  <si>
    <t xml:space="preserve">⚙  All system-wide rates and rules are configured here. Only ADMIN can edit this sheet.</t>
  </si>
  <si>
    <t xml:space="preserve">Setting Key</t>
  </si>
  <si>
    <t xml:space="preserve">Description</t>
  </si>
  <si>
    <t xml:space="preserve">Value</t>
  </si>
  <si>
    <t xml:space="preserve">Unit</t>
  </si>
  <si>
    <t xml:space="preserve">WEEKLY_CONTRIBUTION</t>
  </si>
  <si>
    <t xml:space="preserve">Default weekly contribution per member</t>
  </si>
  <si>
    <t xml:space="preserve">₦</t>
  </si>
  <si>
    <t xml:space="preserve">SAVINGS_PRORATION_PCT</t>
  </si>
  <si>
    <t xml:space="preserve">% of weekly contribution going to Savings (on loan)</t>
  </si>
  <si>
    <t xml:space="preserve">%</t>
  </si>
  <si>
    <t xml:space="preserve">LOAN_REPAY_PRORATE_PCT</t>
  </si>
  <si>
    <t xml:space="preserve">% of weekly contribution going to Loan Repayment</t>
  </si>
  <si>
    <t xml:space="preserve">ALLOW_MEMBER_OVERRIDE</t>
  </si>
  <si>
    <t xml:space="preserve">Can member redirect 100% to loan repayment?</t>
  </si>
  <si>
    <t xml:space="preserve">YES</t>
  </si>
  <si>
    <t xml:space="preserve">YES/NO</t>
  </si>
  <si>
    <t xml:space="preserve">LOAN_INTEREST_RATE</t>
  </si>
  <si>
    <t xml:space="preserve">Annual loan interest rate</t>
  </si>
  <si>
    <t xml:space="preserve">MAX_LOAN_MULTIPLIER</t>
  </si>
  <si>
    <t xml:space="preserve">Maximum loan = X times member's total savings</t>
  </si>
  <si>
    <t xml:space="preserve">×</t>
  </si>
  <si>
    <t xml:space="preserve">MIN_MEMBERSHIP_MONTHS</t>
  </si>
  <si>
    <t xml:space="preserve">Minimum months of membership before loan</t>
  </si>
  <si>
    <t xml:space="preserve">months</t>
  </si>
  <si>
    <t xml:space="preserve">MAX_GUARANTEES_PER_MBR</t>
  </si>
  <si>
    <t xml:space="preserve">Max number of loans a member can guarantee at once</t>
  </si>
  <si>
    <t xml:space="preserve">loans</t>
  </si>
  <si>
    <t xml:space="preserve">SESSION_TIMEOUT_MINS</t>
  </si>
  <si>
    <t xml:space="preserve">Auto-logout after X minutes of inactivity</t>
  </si>
  <si>
    <t xml:space="preserve">minutes</t>
  </si>
  <si>
    <t xml:space="preserve">ORG_NAME</t>
  </si>
  <si>
    <t xml:space="preserve">Organisation name</t>
  </si>
  <si>
    <t xml:space="preserve">Divine Grace Cooperative Multipurpose Society Limited</t>
  </si>
  <si>
    <t xml:space="preserve">ORG_REG</t>
  </si>
  <si>
    <t xml:space="preserve">Registration number</t>
  </si>
  <si>
    <t xml:space="preserve">LSCS 18377</t>
  </si>
  <si>
    <t xml:space="preserve">ORG_PHONE</t>
  </si>
  <si>
    <t xml:space="preserve">Organisation phone</t>
  </si>
  <si>
    <t xml:space="preserve">08038593189</t>
  </si>
  <si>
    <t xml:space="preserve">BRANCH REGISTRY   |   REG NO: LSCS 18377   |   TEL: 08038593189</t>
  </si>
  <si>
    <t xml:space="preserve">BranchID</t>
  </si>
  <si>
    <t xml:space="preserve">Branch Name</t>
  </si>
  <si>
    <t xml:space="preserve">Address</t>
  </si>
  <si>
    <t xml:space="preserve">Phone</t>
  </si>
  <si>
    <t xml:space="preserve">Date Created</t>
  </si>
  <si>
    <t xml:space="preserve">Status</t>
  </si>
  <si>
    <t xml:space="preserve">BR001</t>
  </si>
  <si>
    <t xml:space="preserve">Head Office</t>
  </si>
  <si>
    <t xml:space="preserve">12 Cooperative Road, Surulere, Lagos</t>
  </si>
  <si>
    <t xml:space="preserve">2020-01-01</t>
  </si>
  <si>
    <t xml:space="preserve">Active</t>
  </si>
  <si>
    <t xml:space="preserve">BR002</t>
  </si>
  <si>
    <t xml:space="preserve">Abuja Branch</t>
  </si>
  <si>
    <t xml:space="preserve">45 Unity Avenue, Wuse II, Abuja</t>
  </si>
  <si>
    <t xml:space="preserve">08012345678</t>
  </si>
  <si>
    <t xml:space="preserve">2021-03-15</t>
  </si>
  <si>
    <t xml:space="preserve">BR003</t>
  </si>
  <si>
    <t xml:space="preserve">Port Harcourt</t>
  </si>
  <si>
    <t xml:space="preserve">7 Rumuola Road, Port Harcourt</t>
  </si>
  <si>
    <t xml:space="preserve">08087654321</t>
  </si>
  <si>
    <t xml:space="preserve">2022-06-01</t>
  </si>
  <si>
    <t xml:space="preserve">MEMBER REGISTRY &amp; ONBOARDING   |   REG NO: LSCS 18377   |   TEL: 08038593189</t>
  </si>
  <si>
    <t xml:space="preserve">🔵  Columns A–J = Core Info   |   K–R = Onboarding KYC   |   S–T = Eligibility (auto-calculated)</t>
  </si>
  <si>
    <t xml:space="preserve">MEM001</t>
  </si>
  <si>
    <t xml:space="preserve">0001</t>
  </si>
  <si>
    <t xml:space="preserve">Grace</t>
  </si>
  <si>
    <t xml:space="preserve">Odunuga</t>
  </si>
  <si>
    <t xml:space="preserve">grace@email.com</t>
  </si>
  <si>
    <t xml:space="preserve">2020-01-10</t>
  </si>
  <si>
    <t xml:space="preserve">Founding member</t>
  </si>
  <si>
    <t xml:space="preserve">1985-05-20</t>
  </si>
  <si>
    <t xml:space="preserve">F</t>
  </si>
  <si>
    <t xml:space="preserve">12 Coop Road, Lagos</t>
  </si>
  <si>
    <t xml:space="preserve">Teacher</t>
  </si>
  <si>
    <t xml:space="preserve">James Odunuga</t>
  </si>
  <si>
    <t xml:space="preserve">08011112222</t>
  </si>
  <si>
    <t xml:space="preserve">Husband</t>
  </si>
  <si>
    <t xml:space="preserve">NIN</t>
  </si>
  <si>
    <t xml:space="preserve">12345678901</t>
  </si>
  <si>
    <t xml:space="preserve">admin</t>
  </si>
  <si>
    <t xml:space="preserve">2020-01-08</t>
  </si>
  <si>
    <t xml:space="preserve">MEM002</t>
  </si>
  <si>
    <t xml:space="preserve">0002</t>
  </si>
  <si>
    <t xml:space="preserve">Emeka</t>
  </si>
  <si>
    <t xml:space="preserve">Adebayo</t>
  </si>
  <si>
    <t xml:space="preserve">08055551234</t>
  </si>
  <si>
    <t xml:space="preserve">emeka@email.com</t>
  </si>
  <si>
    <t xml:space="preserve">2020-02-01</t>
  </si>
  <si>
    <t xml:space="preserve">1990-08-15</t>
  </si>
  <si>
    <t xml:space="preserve">M</t>
  </si>
  <si>
    <t xml:space="preserve">45 Allen Ave, Lagos</t>
  </si>
  <si>
    <t xml:space="preserve">Engineer</t>
  </si>
  <si>
    <t xml:space="preserve">Mrs Adebayo</t>
  </si>
  <si>
    <t xml:space="preserve">08033334444</t>
  </si>
  <si>
    <t xml:space="preserve">Mother</t>
  </si>
  <si>
    <t xml:space="preserve">BVN</t>
  </si>
  <si>
    <t xml:space="preserve">22345678901</t>
  </si>
  <si>
    <t xml:space="preserve">2020-01-30</t>
  </si>
  <si>
    <t xml:space="preserve">USERS &amp; ROLE-BASED ACCESS CONTROL   |   REG NO: LSCS 18377   |   TEL: 08038593189</t>
  </si>
  <si>
    <t xml:space="preserve">🔒  Passwords stored as SHA-256+Salt hash. Plain text NEVER stored. Roles: Admin=all | BranchManager=own branch | Member=own data only</t>
  </si>
  <si>
    <t xml:space="preserve">UserID</t>
  </si>
  <si>
    <t xml:space="preserve">MemberID</t>
  </si>
  <si>
    <t xml:space="preserve">Username</t>
  </si>
  <si>
    <t xml:space="preserve">Password (SHA-256+Salt)</t>
  </si>
  <si>
    <t xml:space="preserve">Role</t>
  </si>
  <si>
    <t xml:space="preserve">Last Login</t>
  </si>
  <si>
    <t xml:space="preserve">USR001</t>
  </si>
  <si>
    <t xml:space="preserve">—</t>
  </si>
  <si>
    <t xml:space="preserve">[hashed_on_setup]</t>
  </si>
  <si>
    <t xml:space="preserve">Admin</t>
  </si>
  <si>
    <t xml:space="preserve">ALL</t>
  </si>
  <si>
    <t xml:space="preserve">USR002</t>
  </si>
  <si>
    <t xml:space="preserve">grace.odunuga</t>
  </si>
  <si>
    <t xml:space="preserve">[hashed]</t>
  </si>
  <si>
    <t xml:space="preserve">Member</t>
  </si>
  <si>
    <t xml:space="preserve">USR003</t>
  </si>
  <si>
    <t xml:space="preserve">emeka.adebayo</t>
  </si>
  <si>
    <t xml:space="preserve">USR004</t>
  </si>
  <si>
    <t xml:space="preserve">mgr.abuja</t>
  </si>
  <si>
    <t xml:space="preserve">BranchManager</t>
  </si>
  <si>
    <t xml:space="preserve">TRANSACTIONS — CR/DR LEDGER   |   REG NO: LSCS 18377   |   TEL: 08038593189</t>
  </si>
  <si>
    <t xml:space="preserve">💰  PRORATION: When member has active loan, contribution is split per SETTINGS rates. SplitType: Full=no loan | Savings=proration savings portion | LoanRepay=proration loan portion | Override=100% to loan</t>
  </si>
  <si>
    <t xml:space="preserve">TxnID</t>
  </si>
  <si>
    <t xml:space="preserve">Date</t>
  </si>
  <si>
    <t xml:space="preserve">Category</t>
  </si>
  <si>
    <t xml:space="preserve">Type</t>
  </si>
  <si>
    <t xml:space="preserve">Amount (₦)</t>
  </si>
  <si>
    <t xml:space="preserve">Running Balance (₦)</t>
  </si>
  <si>
    <t xml:space="preserve">Proration Applied</t>
  </si>
  <si>
    <t xml:space="preserve">Split Type</t>
  </si>
  <si>
    <t xml:space="preserve">Split Ref (TxnID)</t>
  </si>
  <si>
    <t xml:space="preserve">Remark</t>
  </si>
  <si>
    <t xml:space="preserve">Posted By</t>
  </si>
  <si>
    <t xml:space="preserve">TXN001</t>
  </si>
  <si>
    <t xml:space="preserve">2024-01-10</t>
  </si>
  <si>
    <t xml:space="preserve">Shares</t>
  </si>
  <si>
    <t xml:space="preserve">CR</t>
  </si>
  <si>
    <t xml:space="preserve">No</t>
  </si>
  <si>
    <t xml:space="preserve">Full</t>
  </si>
  <si>
    <t xml:space="preserve">Opening shares</t>
  </si>
  <si>
    <t xml:space="preserve">TXN002</t>
  </si>
  <si>
    <t xml:space="preserve">Savings</t>
  </si>
  <si>
    <t xml:space="preserve">Yes</t>
  </si>
  <si>
    <t xml:space="preserve">TXN003</t>
  </si>
  <si>
    <t xml:space="preserve">Proration: 60% of ₦2000</t>
  </si>
  <si>
    <t xml:space="preserve">Loan</t>
  </si>
  <si>
    <t xml:space="preserve">DR</t>
  </si>
  <si>
    <t xml:space="preserve">LoanRepay</t>
  </si>
  <si>
    <t xml:space="preserve">Proration: 40% of ₦2000</t>
  </si>
  <si>
    <t xml:space="preserve">TXN004</t>
  </si>
  <si>
    <t xml:space="preserve">2024-02-10</t>
  </si>
  <si>
    <t xml:space="preserve">Full contribution, no loan</t>
  </si>
  <si>
    <t xml:space="preserve">LOAN APPLICATIONS &amp; LIFECYCLE   |   REG NO: LSCS 18377   |   TEL: 08038593189</t>
  </si>
  <si>
    <t xml:space="preserve">📋  LIFECYCLE: Pending → Approved/Rejected → Active (disbursed) → Closed (fully repaid)  |  ONE LOAN PER MEMBER at a time  |  Max = 2× Savings  |  Min 6 months membership</t>
  </si>
  <si>
    <t xml:space="preserve">LoanID</t>
  </si>
  <si>
    <t xml:space="preserve">Principal (₦)</t>
  </si>
  <si>
    <t xml:space="preserve">Interest Rate (%)</t>
  </si>
  <si>
    <t xml:space="preserve">Interest Amt (₦)</t>
  </si>
  <si>
    <t xml:space="preserve">Total Due (₦)</t>
  </si>
  <si>
    <t xml:space="preserve">Total Repaid (₦)</t>
  </si>
  <si>
    <t xml:space="preserve">Outstanding (₦)</t>
  </si>
  <si>
    <t xml:space="preserve">Purpose</t>
  </si>
  <si>
    <t xml:space="preserve">Duration (Months)</t>
  </si>
  <si>
    <t xml:space="preserve">Application Date</t>
  </si>
  <si>
    <t xml:space="preserve">Approved By</t>
  </si>
  <si>
    <t xml:space="preserve">Approval Date</t>
  </si>
  <si>
    <t xml:space="preserve">Disbursement Date</t>
  </si>
  <si>
    <t xml:space="preserve">Remarks</t>
  </si>
  <si>
    <t xml:space="preserve">LN001</t>
  </si>
  <si>
    <t xml:space="preserve">Business capital</t>
  </si>
  <si>
    <t xml:space="preserve">2024-03-01</t>
  </si>
  <si>
    <t xml:space="preserve">2024-03-05</t>
  </si>
  <si>
    <t xml:space="preserve">2024-03-07</t>
  </si>
  <si>
    <t xml:space="preserve">Approved after verification</t>
  </si>
  <si>
    <t xml:space="preserve">LN002</t>
  </si>
  <si>
    <t xml:space="preserve">School fees</t>
  </si>
  <si>
    <t xml:space="preserve">2024-04-01</t>
  </si>
  <si>
    <t xml:space="preserve">Pending</t>
  </si>
  <si>
    <t xml:space="preserve">Awaiting guarantor verification</t>
  </si>
  <si>
    <t xml:space="preserve">LOAN REPAYMENT TRACKER   |   REG NO: LSCS 18377   |   TEL: 08038593189</t>
  </si>
  <si>
    <t xml:space="preserve">💳  Each repayment reduces the Outstanding Balance in LOANS sheet automatically via formula.</t>
  </si>
  <si>
    <t xml:space="preserve">RepaymentID</t>
  </si>
  <si>
    <t xml:space="preserve">Amount Paid (₦)</t>
  </si>
  <si>
    <t xml:space="preserve">Outstanding After (₦)</t>
  </si>
  <si>
    <t xml:space="preserve">REP001</t>
  </si>
  <si>
    <t xml:space="preserve">2024-04-07</t>
  </si>
  <si>
    <t xml:space="preserve">Monthly repayment 1</t>
  </si>
  <si>
    <t xml:space="preserve">REP002</t>
  </si>
  <si>
    <t xml:space="preserve">2024-05-07</t>
  </si>
  <si>
    <t xml:space="preserve">Monthly repayment 2</t>
  </si>
  <si>
    <t xml:space="preserve">REP003</t>
  </si>
  <si>
    <t xml:space="preserve">2024-06-07</t>
  </si>
  <si>
    <t xml:space="preserve">Monthly repayment 3</t>
  </si>
  <si>
    <t xml:space="preserve">LOAN GUARANTORS REGISTRY   |   REG NO: LSCS 18377   |   TEL: 08038593189</t>
  </si>
  <si>
    <t xml:space="preserve">🤝  Each loan requires 2 guarantors. Guarantors must be: Active members | No outstanding loan | Not the applicant | Not already guaranteeing max loans</t>
  </si>
  <si>
    <t xml:space="preserve">GuarantorID</t>
  </si>
  <si>
    <t xml:space="preserve">Applicant MemberID</t>
  </si>
  <si>
    <t xml:space="preserve">Guarantor MemberID</t>
  </si>
  <si>
    <t xml:space="preserve">Guarantor CoopNo</t>
  </si>
  <si>
    <t xml:space="preserve">Guarantor Name</t>
  </si>
  <si>
    <t xml:space="preserve">Guarantor Phone</t>
  </si>
  <si>
    <t xml:space="preserve">Consent Given</t>
  </si>
  <si>
    <t xml:space="preserve">Verification Status</t>
  </si>
  <si>
    <t xml:space="preserve">Date Provided</t>
  </si>
  <si>
    <t xml:space="preserve">GUA001</t>
  </si>
  <si>
    <t xml:space="preserve">Emeka Adebayo</t>
  </si>
  <si>
    <t xml:space="preserve">Verified</t>
  </si>
  <si>
    <t xml:space="preserve">GUA002</t>
  </si>
  <si>
    <t xml:space="preserve">MEM003</t>
  </si>
  <si>
    <t xml:space="preserve">0003</t>
  </si>
  <si>
    <t xml:space="preserve">Fatima Musa</t>
  </si>
  <si>
    <t xml:space="preserve">08077778888</t>
  </si>
  <si>
    <t xml:space="preserve">GUA003</t>
  </si>
  <si>
    <t xml:space="preserve">Grace Odunuga</t>
  </si>
  <si>
    <t xml:space="preserve">GUA004</t>
  </si>
  <si>
    <t xml:space="preserve">MEM004</t>
  </si>
  <si>
    <t xml:space="preserve">0004</t>
  </si>
  <si>
    <t xml:space="preserve">Chidi Okonkwo</t>
  </si>
  <si>
    <t xml:space="preserve">08099990000</t>
  </si>
  <si>
    <t xml:space="preserve">NO</t>
  </si>
  <si>
    <t xml:space="preserve">COMMODITIES — GOODS ISSUED TO MEMBERS   |   REG NO: LSCS 18377   |   TEL: 08038593189</t>
  </si>
  <si>
    <t xml:space="preserve">CommodityID</t>
  </si>
  <si>
    <t xml:space="preserve">Item Description</t>
  </si>
  <si>
    <t xml:space="preserve">Quantity</t>
  </si>
  <si>
    <t xml:space="preserve">Unit Price (₦)</t>
  </si>
  <si>
    <t xml:space="preserve">Total Value (₦)</t>
  </si>
  <si>
    <t xml:space="preserve">Date Issued</t>
  </si>
  <si>
    <t xml:space="preserve">Payment Status</t>
  </si>
  <si>
    <t xml:space="preserve">Balance Due (₦)</t>
  </si>
  <si>
    <t xml:space="preserve">COM001</t>
  </si>
  <si>
    <t xml:space="preserve">Rice (50kg bag)</t>
  </si>
  <si>
    <t xml:space="preserve">2024-02-01</t>
  </si>
  <si>
    <t xml:space="preserve">Partial</t>
  </si>
  <si>
    <t xml:space="preserve">COM002</t>
  </si>
  <si>
    <t xml:space="preserve">Fertilizer (25kg)</t>
  </si>
  <si>
    <t xml:space="preserve">2024-03-15</t>
  </si>
  <si>
    <t xml:space="preserve">Paid</t>
  </si>
  <si>
    <t xml:space="preserve">COM003</t>
  </si>
  <si>
    <t xml:space="preserve">Palm oil (25L kegs)</t>
  </si>
  <si>
    <t xml:space="preserve">Unpaid</t>
  </si>
  <si>
    <t xml:space="preserve">SUMMARY DASHBOARD — AUTO-CALCULATED   |   REG NO: LSCS 18377   |   TEL: 08038593189</t>
  </si>
  <si>
    <t xml:space="preserve">⚠  READ ONLY — Auto-populated by Apps Script. Do NOT edit manually. Reflects real-time balances per member across all categories.</t>
  </si>
  <si>
    <t xml:space="preserve">Full Name</t>
  </si>
  <si>
    <t xml:space="preserve">Branch</t>
  </si>
  <si>
    <t xml:space="preserve">Shares Bal (₦)</t>
  </si>
  <si>
    <t xml:space="preserve">Savings Bal (₦)</t>
  </si>
  <si>
    <t xml:space="preserve">Loan Outstanding (₦)</t>
  </si>
  <si>
    <t xml:space="preserve">Deposit Bal (₦)</t>
  </si>
  <si>
    <t xml:space="preserve">Commodity Due (₦)</t>
  </si>
  <si>
    <t xml:space="preserve">Loan Status</t>
  </si>
  <si>
    <t xml:space="preserve">Last Updated</t>
  </si>
  <si>
    <t xml:space="preserve">SYSTEM GUIDE &amp; BUSINESS RULES   |   REG NO: LSCS 18377   |   TEL: 08038593189</t>
  </si>
  <si>
    <t xml:space="preserve">SHEET GUIDE</t>
  </si>
  <si>
    <t xml:space="preserve">Sheet | Purpose | Who Edits | Key Link</t>
  </si>
  <si>
    <t xml:space="preserve">SETTINGS | Admin rates &amp; rules | Admin only | Source of all rates</t>
  </si>
  <si>
    <t xml:space="preserve">BRANCHES | Branch registry | Admin only | BranchID links everywhere</t>
  </si>
  <si>
    <t xml:space="preserve">MEMBERS  | Member profiles + onboarding + eligibility formulas | Admin | MemberID is master key</t>
  </si>
  <si>
    <t xml:space="preserve">USERS    | Login + roles (Admin/BranchManager/Member) | Admin only | Password hashed SHA-256+Salt</t>
  </si>
  <si>
    <t xml:space="preserve">TRANSACTIONS | Every CR/DR entry with proration support | Admin/Manager | Links MEMBERS+BRANCHES</t>
  </si>
  <si>
    <t xml:space="preserve">LOANS    | Full loan lifecycle Pending→Active→Closed | Admin | Links MEMBERS+GUARANTORS+REPAYMENTS</t>
  </si>
  <si>
    <t xml:space="preserve">LOAN_REPAYMENTS | Each repayment posted here | Admin | LoanID links to LOANS</t>
  </si>
  <si>
    <t xml:space="preserve">GUARANTORS | 2 guarantors per loan, verified here | Admin | Links LOANS+MEMBERS</t>
  </si>
  <si>
    <t xml:space="preserve">COMMODITIES | Goods issued to members | Admin/Manager | Tracks payment status</t>
  </si>
  <si>
    <t xml:space="preserve">SUMMARY  | READ ONLY — auto-calculated live balances | Apps Script | Links all sheets</t>
  </si>
  <si>
    <t xml:space="preserve">BUSINESS RULES</t>
  </si>
  <si>
    <t xml:space="preserve">✅ Weekly contribution default: ₦2,000 (set in SETTINGS)</t>
  </si>
  <si>
    <t xml:space="preserve">✅ Proration on active loan: contribution split → Savings% + LoanRepayment% (set in SETTINGS)</t>
  </si>
  <si>
    <t xml:space="preserve">✅ Member can override: redirect 100% of contribution to loan repayment</t>
  </si>
  <si>
    <t xml:space="preserve">✅ Loan eligibility: Active member + 6 months membership + no outstanding loan + amount ≤ 2× savings</t>
  </si>
  <si>
    <t xml:space="preserve">✅ One loan at a time: must be Closed before new application is allowed</t>
  </si>
  <si>
    <t xml:space="preserve">✅ Two verified guarantors required per loan (active members, no outstanding loan themselves)</t>
  </si>
  <si>
    <t xml:space="preserve">✅ Loan interest rate set by admin in SETTINGS</t>
  </si>
  <si>
    <t xml:space="preserve">✅ All rates configurable by admin in SETTINGS sheet</t>
  </si>
  <si>
    <t xml:space="preserve">SECURITY</t>
  </si>
  <si>
    <t xml:space="preserve">🔒 Passwords: SHA-256 + salt hash — never stored as plain text</t>
  </si>
  <si>
    <t xml:space="preserve">🔒 Roles: Admin (all) | BranchManager (own branch) | Member (own data)</t>
  </si>
  <si>
    <t xml:space="preserve">🔒 Session tokens with auto-expiry (set in SETTINGS)</t>
  </si>
  <si>
    <t xml:space="preserve">🔒 Audit log tracks every change — who, what, when</t>
  </si>
  <si>
    <t xml:space="preserve">🔒 Offline data encrypted in IndexedDB, cleared on logout</t>
  </si>
  <si>
    <t xml:space="preserve">🔒 Google AES-256 encryption at rest | HTTPS/TLS in transit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</si>
</sst>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1F7A8C"/>
      </patternFill>
    </fill>
    <fill>
      <patternFill patternType="solid">
        <fgColor rgb="FFFFF2CC"/>
        <bgColor rgb="FFFDECEA"/>
      </patternFill>
    </fill>
    <fill>
      <patternFill patternType="solid">
        <fgColor rgb="FFED7D31"/>
        <bgColor rgb="FFFF8080"/>
      </patternFill>
    </fill>
    <fill>
      <patternFill patternType="solid">
        <fgColor rgb="FFFFFFFF"/>
        <bgColor rgb="FFFDECEA"/>
      </patternFill>
    </fill>
    <fill>
      <patternFill patternType="solid">
        <fgColor rgb="FFD6E4F7"/>
        <bgColor rgb="FFD6EEF2"/>
      </patternFill>
    </fill>
    <fill>
      <patternFill patternType="solid">
        <fgColor rgb="FFD6F0E0"/>
        <bgColor rgb="FFD6EEF2"/>
      </patternFill>
    </fill>
    <fill>
      <patternFill patternType="solid">
        <fgColor rgb="FF7030A0"/>
        <bgColor rgb="FF993366"/>
      </patternFill>
    </fill>
    <fill>
      <patternFill patternType="solid">
        <fgColor rgb="FFEAD6F7"/>
        <bgColor rgb="FFD6E4F7"/>
      </patternFill>
    </fill>
    <fill>
      <patternFill patternType="solid">
        <fgColor rgb="FF1E6B3C"/>
        <bgColor rgb="FF1F7A8C"/>
      </patternFill>
    </fill>
    <fill>
      <patternFill patternType="solid">
        <fgColor rgb="FFFDECEA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1F7A8C"/>
        <bgColor rgb="FF008080"/>
      </patternFill>
    </fill>
    <fill>
      <patternFill patternType="solid">
        <fgColor rgb="FFD6EEF2"/>
        <bgColor rgb="FFD6F0E0"/>
      </patternFill>
    </fill>
    <fill>
      <patternFill patternType="solid">
        <fgColor rgb="FF833C0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1F7A8C"/>
      <rgbColor rgb="FFBFBFBF"/>
      <rgbColor rgb="FF808080"/>
      <rgbColor rgb="FF9999FF"/>
      <rgbColor rgb="FF7030A0"/>
      <rgbColor rgb="FFFFF2CC"/>
      <rgbColor rgb="FFD6EEF2"/>
      <rgbColor rgb="FF660066"/>
      <rgbColor rgb="FFFF8080"/>
      <rgbColor rgb="FF2E5FA3"/>
      <rgbColor rgb="FFEAD6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6F0E0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2"/>
    <col collapsed="false" customWidth="true" hidden="false" outlineLevel="0" max="3" min="3" style="1" width="42"/>
    <col collapsed="false" customWidth="true" hidden="false" outlineLevel="0" max="4" min="4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15.75" hidden="false" customHeight="true" outlineLevel="0" collapsed="false">
      <c r="A2" s="3" t="s">
        <v>1</v>
      </c>
      <c r="B2" s="3"/>
      <c r="C2" s="3"/>
      <c r="D2" s="3"/>
    </row>
    <row r="3" customFormat="false" ht="15.75" hidden="false" customHeight="true" outlineLevel="0" collapsed="false">
      <c r="A3" s="4" t="s">
        <v>2</v>
      </c>
      <c r="B3" s="4"/>
      <c r="C3" s="4"/>
      <c r="D3" s="4"/>
    </row>
    <row r="4" customFormat="false" ht="25.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</row>
    <row r="5" customFormat="false" ht="18" hidden="false" customHeight="true" outlineLevel="0" collapsed="false">
      <c r="A5" s="6" t="s">
        <v>7</v>
      </c>
      <c r="B5" s="6" t="s">
        <v>8</v>
      </c>
      <c r="C5" s="7" t="n">
        <v>2000</v>
      </c>
      <c r="D5" s="6" t="s">
        <v>9</v>
      </c>
    </row>
    <row r="6" customFormat="false" ht="18" hidden="false" customHeight="true" outlineLevel="0" collapsed="false">
      <c r="A6" s="8" t="s">
        <v>10</v>
      </c>
      <c r="B6" s="8" t="s">
        <v>11</v>
      </c>
      <c r="C6" s="9" t="n">
        <v>60</v>
      </c>
      <c r="D6" s="8" t="s">
        <v>12</v>
      </c>
    </row>
    <row r="7" customFormat="false" ht="18" hidden="false" customHeight="true" outlineLevel="0" collapsed="false">
      <c r="A7" s="6" t="s">
        <v>13</v>
      </c>
      <c r="B7" s="6" t="s">
        <v>14</v>
      </c>
      <c r="C7" s="7" t="n">
        <v>40</v>
      </c>
      <c r="D7" s="6" t="s">
        <v>12</v>
      </c>
    </row>
    <row r="8" customFormat="false" ht="18" hidden="false" customHeight="true" outlineLevel="0" collapsed="false">
      <c r="A8" s="8" t="s">
        <v>15</v>
      </c>
      <c r="B8" s="8" t="s">
        <v>16</v>
      </c>
      <c r="C8" s="9" t="s">
        <v>17</v>
      </c>
      <c r="D8" s="8" t="s">
        <v>18</v>
      </c>
    </row>
    <row r="9" customFormat="false" ht="18" hidden="false" customHeight="true" outlineLevel="0" collapsed="false">
      <c r="A9" s="6" t="s">
        <v>19</v>
      </c>
      <c r="B9" s="6" t="s">
        <v>20</v>
      </c>
      <c r="C9" s="7" t="n">
        <v>5</v>
      </c>
      <c r="D9" s="6" t="s">
        <v>12</v>
      </c>
    </row>
    <row r="10" customFormat="false" ht="18" hidden="false" customHeight="true" outlineLevel="0" collapsed="false">
      <c r="A10" s="8" t="s">
        <v>21</v>
      </c>
      <c r="B10" s="8" t="s">
        <v>22</v>
      </c>
      <c r="C10" s="9" t="n">
        <v>2</v>
      </c>
      <c r="D10" s="8" t="s">
        <v>23</v>
      </c>
    </row>
    <row r="11" customFormat="false" ht="18" hidden="false" customHeight="true" outlineLevel="0" collapsed="false">
      <c r="A11" s="6" t="s">
        <v>24</v>
      </c>
      <c r="B11" s="6" t="s">
        <v>25</v>
      </c>
      <c r="C11" s="7" t="n">
        <v>6</v>
      </c>
      <c r="D11" s="6" t="s">
        <v>26</v>
      </c>
    </row>
    <row r="12" customFormat="false" ht="18" hidden="false" customHeight="true" outlineLevel="0" collapsed="false">
      <c r="A12" s="8" t="s">
        <v>27</v>
      </c>
      <c r="B12" s="8" t="s">
        <v>28</v>
      </c>
      <c r="C12" s="9" t="n">
        <v>2</v>
      </c>
      <c r="D12" s="8" t="s">
        <v>29</v>
      </c>
    </row>
    <row r="13" customFormat="false" ht="18" hidden="false" customHeight="true" outlineLevel="0" collapsed="false">
      <c r="A13" s="6" t="s">
        <v>30</v>
      </c>
      <c r="B13" s="6" t="s">
        <v>31</v>
      </c>
      <c r="C13" s="7" t="n">
        <v>30</v>
      </c>
      <c r="D13" s="6" t="s">
        <v>32</v>
      </c>
    </row>
    <row r="14" customFormat="false" ht="18" hidden="false" customHeight="true" outlineLevel="0" collapsed="false">
      <c r="A14" s="8" t="s">
        <v>33</v>
      </c>
      <c r="B14" s="8" t="s">
        <v>34</v>
      </c>
      <c r="C14" s="9" t="s">
        <v>35</v>
      </c>
      <c r="D14" s="8"/>
    </row>
    <row r="15" customFormat="false" ht="18" hidden="false" customHeight="true" outlineLevel="0" collapsed="false">
      <c r="A15" s="6" t="s">
        <v>36</v>
      </c>
      <c r="B15" s="6" t="s">
        <v>37</v>
      </c>
      <c r="C15" s="7" t="s">
        <v>38</v>
      </c>
      <c r="D15" s="6"/>
    </row>
    <row r="16" customFormat="false" ht="18" hidden="false" customHeight="true" outlineLevel="0" collapsed="false">
      <c r="A16" s="8" t="s">
        <v>39</v>
      </c>
      <c r="B16" s="8" t="s">
        <v>40</v>
      </c>
      <c r="C16" s="9" t="s">
        <v>41</v>
      </c>
      <c r="D16" s="8"/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42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42</v>
      </c>
      <c r="B2" s="3"/>
      <c r="C2" s="3"/>
      <c r="D2" s="3"/>
      <c r="E2" s="3"/>
      <c r="F2" s="3"/>
    </row>
    <row r="3" customFormat="false" ht="25.5" hidden="false" customHeight="true" outlineLevel="0" collapsed="false">
      <c r="A3" s="10" t="s">
        <v>43</v>
      </c>
      <c r="B3" s="10" t="s">
        <v>44</v>
      </c>
      <c r="C3" s="10" t="s">
        <v>45</v>
      </c>
      <c r="D3" s="10" t="s">
        <v>46</v>
      </c>
      <c r="E3" s="10" t="s">
        <v>47</v>
      </c>
      <c r="F3" s="10" t="s">
        <v>48</v>
      </c>
    </row>
    <row r="4" customFormat="false" ht="18" hidden="false" customHeight="true" outlineLevel="0" collapsed="false">
      <c r="A4" s="11" t="s">
        <v>49</v>
      </c>
      <c r="B4" s="11" t="s">
        <v>50</v>
      </c>
      <c r="C4" s="11" t="s">
        <v>51</v>
      </c>
      <c r="D4" s="11" t="s">
        <v>41</v>
      </c>
      <c r="E4" s="11" t="s">
        <v>52</v>
      </c>
      <c r="F4" s="11" t="s">
        <v>53</v>
      </c>
    </row>
    <row r="5" customFormat="false" ht="18" hidden="false" customHeight="true" outlineLevel="0" collapsed="false">
      <c r="A5" s="6" t="s">
        <v>54</v>
      </c>
      <c r="B5" s="6" t="s">
        <v>55</v>
      </c>
      <c r="C5" s="6" t="s">
        <v>56</v>
      </c>
      <c r="D5" s="6" t="s">
        <v>57</v>
      </c>
      <c r="E5" s="6" t="s">
        <v>58</v>
      </c>
      <c r="F5" s="6" t="s">
        <v>53</v>
      </c>
    </row>
    <row r="6" customFormat="false" ht="18" hidden="false" customHeight="true" outlineLevel="0" collapsed="false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63</v>
      </c>
      <c r="F6" s="11" t="s">
        <v>53</v>
      </c>
    </row>
    <row r="7" customFormat="false" ht="18" hidden="false" customHeight="true" outlineLevel="0" collapsed="false">
      <c r="A7" s="6"/>
      <c r="B7" s="6"/>
      <c r="C7" s="6"/>
      <c r="D7" s="6"/>
      <c r="E7" s="6"/>
      <c r="F7" s="6"/>
    </row>
    <row r="8" customFormat="false" ht="18" hidden="false" customHeight="true" outlineLevel="0" collapsed="false">
      <c r="A8" s="11"/>
      <c r="B8" s="11"/>
      <c r="C8" s="11"/>
      <c r="D8" s="11"/>
      <c r="E8" s="11"/>
      <c r="F8" s="11"/>
    </row>
    <row r="9" customFormat="false" ht="18" hidden="false" customHeight="true" outlineLevel="0" collapsed="false">
      <c r="A9" s="6"/>
      <c r="B9" s="6"/>
      <c r="C9" s="6"/>
      <c r="D9" s="6"/>
      <c r="E9" s="6"/>
      <c r="F9" s="6"/>
    </row>
    <row r="10" customFormat="false" ht="18" hidden="false" customHeight="true" outlineLevel="0" collapsed="false">
      <c r="A10" s="11"/>
      <c r="B10" s="11"/>
      <c r="C10" s="11"/>
      <c r="D10" s="11"/>
      <c r="E10" s="11"/>
      <c r="F10" s="11"/>
    </row>
    <row r="11" customFormat="false" ht="18" hidden="false" customHeight="true" outlineLevel="0" collapsed="false">
      <c r="A11" s="6"/>
      <c r="B11" s="6"/>
      <c r="C11" s="6"/>
      <c r="D11" s="6"/>
      <c r="E11" s="6"/>
      <c r="F11" s="6"/>
    </row>
    <row r="12" customFormat="false" ht="18" hidden="false" customHeight="true" outlineLevel="0" collapsed="false">
      <c r="A12" s="11"/>
      <c r="B12" s="11"/>
      <c r="C12" s="11"/>
      <c r="D12" s="11"/>
      <c r="E12" s="11"/>
      <c r="F12" s="11"/>
    </row>
    <row r="13" customFormat="false" ht="18" hidden="false" customHeight="true" outlineLevel="0" collapsed="false">
      <c r="A13" s="6"/>
      <c r="B13" s="6"/>
      <c r="C13" s="6"/>
      <c r="D13" s="6"/>
      <c r="E13" s="6"/>
      <c r="F13" s="6"/>
    </row>
    <row r="14" customFormat="false" ht="18" hidden="false" customHeight="true" outlineLevel="0" collapsed="false">
      <c r="A14" s="11"/>
      <c r="B14" s="11"/>
      <c r="C14" s="11"/>
      <c r="D14" s="11"/>
      <c r="E14" s="11"/>
      <c r="F14" s="11"/>
    </row>
    <row r="15" customFormat="false" ht="18" hidden="false" customHeight="true" outlineLevel="0" collapsed="false">
      <c r="A15" s="6"/>
      <c r="B15" s="6"/>
      <c r="C15" s="6"/>
      <c r="D15" s="6"/>
      <c r="E15" s="6"/>
      <c r="F15" s="6"/>
    </row>
    <row r="16" customFormat="false" ht="18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18" hidden="false" customHeight="true" outlineLevel="0" collapsed="false">
      <c r="A17" s="6"/>
      <c r="B17" s="6"/>
      <c r="C17" s="6"/>
      <c r="D17" s="6"/>
      <c r="E17" s="6"/>
      <c r="F17" s="6"/>
    </row>
    <row r="18" customFormat="false" ht="18" hidden="false" customHeight="true" outlineLevel="0" collapsed="false">
      <c r="A18" s="11"/>
      <c r="B18" s="11"/>
      <c r="C18" s="11"/>
      <c r="D18" s="11"/>
      <c r="E18" s="11"/>
      <c r="F18" s="11"/>
    </row>
    <row r="19" customFormat="false" ht="18" hidden="false" customHeight="true" outlineLevel="0" collapsed="false">
      <c r="A19" s="6"/>
      <c r="B19" s="6"/>
      <c r="C19" s="6"/>
      <c r="D19" s="6"/>
      <c r="E19" s="6"/>
      <c r="F19" s="6"/>
    </row>
    <row r="20" customFormat="false" ht="18" hidden="false" customHeight="true" outlineLevel="0" collapsed="false">
      <c r="A20" s="11"/>
      <c r="B20" s="11"/>
      <c r="C20" s="11"/>
      <c r="D20" s="11"/>
      <c r="E20" s="11"/>
      <c r="F20" s="11"/>
    </row>
    <row r="21" customFormat="false" ht="18" hidden="false" customHeight="true" outlineLevel="0" collapsed="false">
      <c r="A21" s="6"/>
      <c r="B21" s="6"/>
      <c r="C21" s="6"/>
      <c r="D21" s="6"/>
      <c r="E21" s="6"/>
      <c r="F21" s="6"/>
    </row>
    <row r="22" customFormat="false" ht="18" hidden="false" customHeight="true" outlineLevel="0" collapsed="false">
      <c r="A22" s="11"/>
      <c r="B22" s="11"/>
      <c r="C22" s="11"/>
      <c r="D22" s="11"/>
      <c r="E22" s="11"/>
      <c r="F22" s="11"/>
    </row>
    <row r="23" customFormat="false" ht="18" hidden="false" customHeight="true" outlineLevel="0" collapsed="false">
      <c r="A23" s="6"/>
      <c r="B23" s="6"/>
      <c r="C23" s="6"/>
      <c r="D23" s="6"/>
      <c r="E23" s="6"/>
      <c r="F23" s="6"/>
    </row>
    <row r="24" customFormat="false" ht="18" hidden="false" customHeight="true" outlineLevel="0" collapsed="false">
      <c r="A24" s="11"/>
      <c r="B24" s="11"/>
      <c r="C24" s="11"/>
      <c r="D24" s="11"/>
      <c r="E24" s="11"/>
      <c r="F24" s="11"/>
    </row>
    <row r="25" customFormat="false" ht="18" hidden="false" customHeight="true" outlineLevel="0" collapsed="false">
      <c r="A25" s="6"/>
      <c r="B25" s="6"/>
      <c r="C25" s="6"/>
      <c r="D25" s="6"/>
      <c r="E25" s="6"/>
      <c r="F25" s="6"/>
    </row>
    <row r="26" customFormat="false" ht="18" hidden="false" customHeight="true" outlineLevel="0" collapsed="false">
      <c r="A26" s="11"/>
      <c r="B26" s="11"/>
      <c r="C26" s="11"/>
      <c r="D26" s="11"/>
      <c r="E26" s="11"/>
      <c r="F26" s="11"/>
    </row>
    <row r="27" customFormat="false" ht="18" hidden="false" customHeight="true" outlineLevel="0" collapsed="false">
      <c r="A27" s="6"/>
      <c r="B27" s="6"/>
      <c r="C27" s="6"/>
      <c r="D27" s="6"/>
      <c r="E27" s="6"/>
      <c r="F27" s="6"/>
    </row>
    <row r="28" customFormat="false" ht="18" hidden="false" customHeight="true" outlineLevel="0" collapsed="false">
      <c r="A28" s="11"/>
      <c r="B28" s="11"/>
      <c r="C28" s="11"/>
      <c r="D28" s="11"/>
      <c r="E28" s="11"/>
      <c r="F28" s="11"/>
    </row>
    <row r="29" customFormat="false" ht="18" hidden="false" customHeight="true" outlineLevel="0" collapsed="false">
      <c r="A29" s="6"/>
      <c r="B29" s="6"/>
      <c r="C29" s="6"/>
      <c r="D29" s="6"/>
      <c r="E29" s="6"/>
      <c r="F29" s="6"/>
    </row>
    <row r="30" customFormat="false" ht="18" hidden="false" customHeight="true" outlineLevel="0" collapsed="false">
      <c r="A30" s="11"/>
      <c r="B30" s="11"/>
      <c r="C30" s="11"/>
      <c r="D30" s="11"/>
      <c r="E30" s="11"/>
      <c r="F30" s="11"/>
    </row>
    <row r="31" customFormat="false" ht="18" hidden="false" customHeight="true" outlineLevel="0" collapsed="false">
      <c r="A31" s="6"/>
      <c r="B31" s="6"/>
      <c r="C31" s="6"/>
      <c r="D31" s="6"/>
      <c r="E31" s="6"/>
      <c r="F31" s="6"/>
    </row>
    <row r="32" customFormat="false" ht="18" hidden="false" customHeight="true" outlineLevel="0" collapsed="false">
      <c r="A32" s="11"/>
      <c r="B32" s="11"/>
      <c r="C32" s="11"/>
      <c r="D32" s="11"/>
      <c r="E32" s="11"/>
      <c r="F32" s="11"/>
    </row>
    <row r="33" customFormat="false" ht="18" hidden="false" customHeight="true" outlineLevel="0" collapsed="false">
      <c r="A33" s="6"/>
      <c r="B33" s="6"/>
      <c r="C33" s="6"/>
      <c r="D33" s="6"/>
      <c r="E33" s="6"/>
      <c r="F33" s="6"/>
    </row>
    <row r="34" customFormat="false" ht="18" hidden="false" customHeight="true" outlineLevel="0" collapsed="false">
      <c r="A34" s="11"/>
      <c r="B34" s="11"/>
      <c r="C34" s="11"/>
      <c r="D34" s="11"/>
      <c r="E34" s="11"/>
      <c r="F34" s="11"/>
    </row>
    <row r="35" customFormat="false" ht="18" hidden="false" customHeight="true" outlineLevel="0" collapsed="false">
      <c r="A35" s="6"/>
      <c r="B35" s="6"/>
      <c r="C35" s="6"/>
      <c r="D35" s="6"/>
      <c r="E35" s="6"/>
      <c r="F35" s="6"/>
    </row>
    <row r="36" customFormat="false" ht="18" hidden="false" customHeight="true" outlineLevel="0" collapsed="false">
      <c r="A36" s="11"/>
      <c r="B36" s="11"/>
      <c r="C36" s="11"/>
      <c r="D36" s="11"/>
      <c r="E36" s="11"/>
      <c r="F36" s="11"/>
    </row>
    <row r="37" customFormat="false" ht="18" hidden="false" customHeight="true" outlineLevel="0" collapsed="false">
      <c r="A37" s="6"/>
      <c r="B37" s="6"/>
      <c r="C37" s="6"/>
      <c r="D37" s="6"/>
      <c r="E37" s="6"/>
      <c r="F37" s="6"/>
    </row>
    <row r="38" customFormat="false" ht="18" hidden="false" customHeight="true" outlineLevel="0" collapsed="false">
      <c r="A38" s="11"/>
      <c r="B38" s="11"/>
      <c r="C38" s="11"/>
      <c r="D38" s="11"/>
      <c r="E38" s="11"/>
      <c r="F38" s="11"/>
    </row>
    <row r="39" customFormat="false" ht="18" hidden="false" customHeight="true" outlineLevel="0" collapsed="false">
      <c r="A39" s="6"/>
      <c r="B39" s="6"/>
      <c r="C39" s="6"/>
      <c r="D39" s="6"/>
      <c r="E39" s="6"/>
      <c r="F39" s="6"/>
    </row>
    <row r="40" customFormat="false" ht="18" hidden="false" customHeight="true" outlineLevel="0" collapsed="false">
      <c r="A40" s="11"/>
      <c r="B40" s="11"/>
      <c r="C40" s="11"/>
      <c r="D40" s="11"/>
      <c r="E40" s="11"/>
      <c r="F40" s="11"/>
    </row>
    <row r="41" customFormat="false" ht="18" hidden="false" customHeight="true" outlineLevel="0" collapsed="false">
      <c r="A41" s="6"/>
      <c r="B41" s="6"/>
      <c r="C41" s="6"/>
      <c r="D41" s="6"/>
      <c r="E41" s="6"/>
      <c r="F41" s="6"/>
    </row>
    <row r="42" customFormat="false" ht="18" hidden="false" customHeight="true" outlineLevel="0" collapsed="false">
      <c r="A42" s="11"/>
      <c r="B42" s="11"/>
      <c r="C42" s="11"/>
      <c r="D42" s="11"/>
      <c r="E42" s="11"/>
      <c r="F42" s="11"/>
    </row>
    <row r="43" customFormat="false" ht="18" hidden="false" customHeight="true" outlineLevel="0" collapsed="false">
      <c r="A43" s="6"/>
      <c r="B43" s="6"/>
      <c r="C43" s="6"/>
      <c r="D43" s="6"/>
      <c r="E43" s="6"/>
      <c r="F43" s="6"/>
    </row>
    <row r="44" customFormat="false" ht="18" hidden="false" customHeight="true" outlineLevel="0" collapsed="false">
      <c r="A44" s="11"/>
      <c r="B44" s="11"/>
      <c r="C44" s="11"/>
      <c r="D44" s="11"/>
      <c r="E44" s="11"/>
      <c r="F44" s="11"/>
    </row>
    <row r="45" customFormat="false" ht="18" hidden="false" customHeight="true" outlineLevel="0" collapsed="false">
      <c r="A45" s="6"/>
      <c r="B45" s="6"/>
      <c r="C45" s="6"/>
      <c r="D45" s="6"/>
      <c r="E45" s="6"/>
      <c r="F45" s="6"/>
    </row>
    <row r="46" customFormat="false" ht="18" hidden="false" customHeight="true" outlineLevel="0" collapsed="false">
      <c r="A46" s="11"/>
      <c r="B46" s="11"/>
      <c r="C46" s="11"/>
      <c r="D46" s="11"/>
      <c r="E46" s="11"/>
      <c r="F46" s="11"/>
    </row>
    <row r="47" customFormat="false" ht="18" hidden="false" customHeight="true" outlineLevel="0" collapsed="false">
      <c r="A47" s="6"/>
      <c r="B47" s="6"/>
      <c r="C47" s="6"/>
      <c r="D47" s="6"/>
      <c r="E47" s="6"/>
      <c r="F47" s="6"/>
    </row>
    <row r="48" customFormat="false" ht="18" hidden="false" customHeight="true" outlineLevel="0" collapsed="false">
      <c r="A48" s="11"/>
      <c r="B48" s="11"/>
      <c r="C48" s="11"/>
      <c r="D48" s="11"/>
      <c r="E48" s="11"/>
      <c r="F48" s="11"/>
    </row>
    <row r="49" customFormat="false" ht="18" hidden="false" customHeight="true" outlineLevel="0" collapsed="false">
      <c r="A49" s="6"/>
      <c r="B49" s="6"/>
      <c r="C49" s="6"/>
      <c r="D49" s="6"/>
      <c r="E49" s="6"/>
      <c r="F49" s="6"/>
    </row>
    <row r="50" customFormat="false" ht="18" hidden="false" customHeight="true" outlineLevel="0" collapsed="false">
      <c r="A50" s="11"/>
      <c r="B50" s="11"/>
      <c r="C50" s="11"/>
      <c r="D50" s="11"/>
      <c r="E50" s="11"/>
      <c r="F50" s="11"/>
    </row>
    <row r="51" customFormat="false" ht="18" hidden="false" customHeight="true" outlineLevel="0" collapsed="false">
      <c r="A51" s="6"/>
      <c r="B51" s="6"/>
      <c r="C51" s="6"/>
      <c r="D51" s="6"/>
      <c r="E51" s="6"/>
      <c r="F51" s="6"/>
    </row>
    <row r="52" customFormat="false" ht="18" hidden="false" customHeight="true" outlineLevel="0" collapsed="false">
      <c r="A52" s="11"/>
      <c r="B52" s="11"/>
      <c r="C52" s="11"/>
      <c r="D52" s="11"/>
      <c r="E52" s="11"/>
      <c r="F52" s="11"/>
    </row>
    <row r="53" customFormat="false" ht="18" hidden="false" customHeight="true" outlineLevel="0" collapsed="false">
      <c r="A53" s="6"/>
      <c r="B53" s="6"/>
      <c r="C53" s="6"/>
      <c r="D53" s="6"/>
      <c r="E53" s="6"/>
      <c r="F53" s="6"/>
    </row>
    <row r="54" customFormat="false" ht="18" hidden="false" customHeight="true" outlineLevel="0" collapsed="false">
      <c r="A54" s="11"/>
      <c r="B54" s="11"/>
      <c r="C54" s="11"/>
      <c r="D54" s="11"/>
      <c r="E54" s="11"/>
      <c r="F54" s="11"/>
    </row>
    <row r="55" customFormat="false" ht="18" hidden="false" customHeight="true" outlineLevel="0" collapsed="false">
      <c r="A55" s="6"/>
      <c r="B55" s="6"/>
      <c r="C55" s="6"/>
      <c r="D55" s="6"/>
      <c r="E55" s="6"/>
      <c r="F55" s="6"/>
    </row>
    <row r="56" customFormat="false" ht="18" hidden="false" customHeight="true" outlineLevel="0" collapsed="false">
      <c r="A56" s="11"/>
      <c r="B56" s="11"/>
      <c r="C56" s="11"/>
      <c r="D56" s="11"/>
      <c r="E56" s="11"/>
      <c r="F56" s="11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F4:F56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1:AB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5" min="3" style="1" width="16"/>
    <col collapsed="false" customWidth="true" hidden="false" outlineLevel="0" max="6" min="6" style="1" width="28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24"/>
    <col collapsed="false" customWidth="true" hidden="false" outlineLevel="0" max="11" min="11" style="1" width="14"/>
    <col collapsed="false" customWidth="true" hidden="false" outlineLevel="0" max="12" min="12" style="1" width="10"/>
    <col collapsed="false" customWidth="true" hidden="false" outlineLevel="0" max="13" min="13" style="1" width="36"/>
    <col collapsed="false" customWidth="true" hidden="false" outlineLevel="0" max="14" min="14" style="1" width="20"/>
    <col collapsed="false" customWidth="true" hidden="false" outlineLevel="0" max="15" min="15" style="1" width="24"/>
    <col collapsed="false" customWidth="true" hidden="false" outlineLevel="0" max="16" min="16" style="1" width="16"/>
    <col collapsed="false" customWidth="true" hidden="false" outlineLevel="0" max="17" min="17" style="1" width="18"/>
    <col collapsed="false" customWidth="true" hidden="false" outlineLevel="0" max="19" min="18" style="1" width="20"/>
    <col collapsed="false" customWidth="true" hidden="false" outlineLevel="0" max="22" min="20" style="1" width="18"/>
    <col collapsed="false" customWidth="true" hidden="false" outlineLevel="0" max="23" min="23" style="1" width="16"/>
    <col collapsed="false" customWidth="true" hidden="false" outlineLevel="0" max="25" min="24" style="1" width="14"/>
    <col collapsed="false" customWidth="true" hidden="false" outlineLevel="0" max="28" min="26" style="1" width="1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.75" hidden="false" customHeight="true" outlineLevel="0" collapsed="false">
      <c r="A2" s="3" t="s">
        <v>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5.75" hidden="false" customHeight="true" outlineLevel="0" collapsed="false">
      <c r="A3" s="4" t="s">
        <v>65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18" hidden="false" customHeight="true" outlineLevel="0" collapsed="false">
      <c r="A4" s="11" t="s">
        <v>66</v>
      </c>
      <c r="B4" s="11" t="s">
        <v>67</v>
      </c>
      <c r="C4" s="11" t="s">
        <v>68</v>
      </c>
      <c r="D4" s="11" t="s">
        <v>69</v>
      </c>
      <c r="E4" s="11" t="s">
        <v>41</v>
      </c>
      <c r="F4" s="11" t="s">
        <v>70</v>
      </c>
      <c r="G4" s="11" t="s">
        <v>49</v>
      </c>
      <c r="H4" s="11" t="s">
        <v>71</v>
      </c>
      <c r="I4" s="11" t="s">
        <v>53</v>
      </c>
      <c r="J4" s="11" t="s">
        <v>72</v>
      </c>
      <c r="K4" s="11" t="s">
        <v>73</v>
      </c>
      <c r="L4" s="11" t="s">
        <v>74</v>
      </c>
      <c r="M4" s="11" t="s">
        <v>75</v>
      </c>
      <c r="N4" s="11" t="s">
        <v>76</v>
      </c>
      <c r="O4" s="11" t="s">
        <v>77</v>
      </c>
      <c r="P4" s="11" t="s">
        <v>78</v>
      </c>
      <c r="Q4" s="11" t="s">
        <v>79</v>
      </c>
      <c r="R4" s="11" t="s">
        <v>80</v>
      </c>
      <c r="S4" s="11" t="s">
        <v>81</v>
      </c>
      <c r="T4" s="12" t="n">
        <f aca="true">DATEDIF(H4,TODAY(),"M")</f>
        <v>76</v>
      </c>
      <c r="U4" s="12" t="n">
        <f aca="false">H4+180</f>
        <v>44020</v>
      </c>
      <c r="V4" s="8" t="n">
        <f aca="false">SUMPRODUCT((TRANSACTIONS!C$5:C$500="MEM001")*(TRANSACTIONS!E$5:E$500="Savings")*(TRANSACTIONS!F$5:F$500="CR")*TRANSACTIONS!G$5:G$500)-SUMPRODUCT((TRANSACTIONS!C$5:C$500="MEM001")*(TRANSACTIONS!E$5:E$500="Savings")*(TRANSACTIONS!F$5:F$500="DR")*TRANSACTIONS!G$5:G$500)</f>
        <v>1200</v>
      </c>
      <c r="W4" s="8" t="n">
        <f aca="false">V4*SETTINGS!$C$6</f>
        <v>72000</v>
      </c>
      <c r="X4" s="11"/>
      <c r="Y4" s="11"/>
      <c r="Z4" s="11" t="s">
        <v>53</v>
      </c>
      <c r="AA4" s="11" t="s">
        <v>82</v>
      </c>
      <c r="AB4" s="11" t="s">
        <v>83</v>
      </c>
    </row>
    <row r="5" customFormat="false" ht="18" hidden="false" customHeight="true" outlineLevel="0" collapsed="false">
      <c r="A5" s="6" t="s">
        <v>84</v>
      </c>
      <c r="B5" s="6" t="s">
        <v>85</v>
      </c>
      <c r="C5" s="6" t="s">
        <v>86</v>
      </c>
      <c r="D5" s="6" t="s">
        <v>87</v>
      </c>
      <c r="E5" s="6" t="s">
        <v>88</v>
      </c>
      <c r="F5" s="6" t="s">
        <v>89</v>
      </c>
      <c r="G5" s="6" t="s">
        <v>49</v>
      </c>
      <c r="H5" s="6" t="s">
        <v>90</v>
      </c>
      <c r="I5" s="6" t="s">
        <v>53</v>
      </c>
      <c r="J5" s="6"/>
      <c r="K5" s="6" t="s">
        <v>91</v>
      </c>
      <c r="L5" s="6" t="s">
        <v>92</v>
      </c>
      <c r="M5" s="6" t="s">
        <v>93</v>
      </c>
      <c r="N5" s="6" t="s">
        <v>94</v>
      </c>
      <c r="O5" s="6" t="s">
        <v>95</v>
      </c>
      <c r="P5" s="6" t="s">
        <v>96</v>
      </c>
      <c r="Q5" s="6" t="s">
        <v>97</v>
      </c>
      <c r="R5" s="6" t="s">
        <v>98</v>
      </c>
      <c r="S5" s="6" t="s">
        <v>99</v>
      </c>
      <c r="T5" s="12" t="n">
        <f aca="true">DATEDIF(H5,TODAY(),"M")</f>
        <v>76</v>
      </c>
      <c r="U5" s="12" t="n">
        <f aca="false">H5+180</f>
        <v>44042</v>
      </c>
      <c r="V5" s="8" t="n">
        <f aca="false">SUMPRODUCT((TRANSACTIONS!C$5:C$500="MEM002")*(TRANSACTIONS!E$5:E$500="Savings")*(TRANSACTIONS!F$5:F$500="CR")*TRANSACTIONS!G$5:G$500)-SUMPRODUCT((TRANSACTIONS!C$5:C$500="MEM002")*(TRANSACTIONS!E$5:E$500="Savings")*(TRANSACTIONS!F$5:F$500="DR")*TRANSACTIONS!G$5:G$500)</f>
        <v>2000</v>
      </c>
      <c r="W5" s="8" t="n">
        <f aca="false">V5*SETTINGS!$C$6</f>
        <v>120000</v>
      </c>
      <c r="X5" s="6"/>
      <c r="Y5" s="6"/>
      <c r="Z5" s="6" t="s">
        <v>53</v>
      </c>
      <c r="AA5" s="6" t="s">
        <v>82</v>
      </c>
      <c r="AB5" s="6" t="s">
        <v>100</v>
      </c>
    </row>
    <row r="6" customFormat="false" ht="18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customFormat="false" ht="18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customFormat="false" ht="18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customFormat="false" ht="18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customFormat="false" ht="18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customFormat="false" ht="18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customFormat="false" ht="18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customFormat="false" ht="18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customFormat="false" ht="18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customFormat="false" ht="18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customFormat="false" ht="18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customFormat="false" ht="18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customFormat="false" ht="18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customFormat="false" ht="18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customFormat="false" ht="18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customFormat="false" ht="18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customFormat="false" ht="18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customFormat="false" ht="18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customFormat="false" ht="18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customFormat="false" ht="18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customFormat="false" ht="18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customFormat="false" ht="18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customFormat="false" ht="18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customFormat="false" ht="18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customFormat="false" ht="18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customFormat="false" ht="18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customFormat="false" ht="18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customFormat="false" ht="18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customFormat="false" ht="18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customFormat="false" ht="18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customFormat="false" ht="18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customFormat="false" ht="18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customFormat="false" ht="18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customFormat="false" ht="18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customFormat="false" ht="18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customFormat="false" ht="18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customFormat="false" ht="18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customFormat="false" ht="18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customFormat="false" ht="18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customFormat="false" ht="18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customFormat="false" ht="18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customFormat="false" ht="18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customFormat="false" ht="18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customFormat="false" ht="18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customFormat="false" ht="18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customFormat="false" ht="18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customFormat="false" ht="18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customFormat="false" ht="18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customFormat="false" ht="18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customFormat="false" ht="18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customFormat="false" ht="18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customFormat="false" ht="18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customFormat="false" ht="18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customFormat="false" ht="18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customFormat="false" ht="18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customFormat="false" ht="18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customFormat="false" ht="18" hidden="false" customHeight="tru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customFormat="false" ht="18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customFormat="false" ht="18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customFormat="false" ht="18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customFormat="false" ht="18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customFormat="false" ht="18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customFormat="false" ht="18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customFormat="false" ht="18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customFormat="false" ht="18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customFormat="false" ht="18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customFormat="false" ht="18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customFormat="false" ht="18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customFormat="false" ht="18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customFormat="false" ht="18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customFormat="false" ht="18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customFormat="false" ht="18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customFormat="false" ht="18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customFormat="false" ht="18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customFormat="false" ht="18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customFormat="false" ht="18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customFormat="false" ht="18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customFormat="false" ht="18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customFormat="false" ht="18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customFormat="false" ht="18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customFormat="false" ht="18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customFormat="false" ht="18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customFormat="false" ht="18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customFormat="false" ht="18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customFormat="false" ht="18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customFormat="false" ht="18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customFormat="false" ht="18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customFormat="false" ht="18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customFormat="false" ht="18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customFormat="false" ht="18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customFormat="false" ht="18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customFormat="false" ht="18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customFormat="false" ht="18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customFormat="false" ht="18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customFormat="false" ht="18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customFormat="false" ht="18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customFormat="false" ht="18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customFormat="false" ht="18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customFormat="false" ht="18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customFormat="false" ht="18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</sheetData>
  <mergeCells count="3">
    <mergeCell ref="A1:T1"/>
    <mergeCell ref="A2:T2"/>
    <mergeCell ref="A3:T3"/>
  </mergeCells>
  <dataValidations count="4">
    <dataValidation allowBlank="true" errorStyle="stop" operator="between" showDropDown="false" showErrorMessage="false" showInputMessage="false" sqref="I6:I105" type="list">
      <formula1>"Active,Inactive,Suspended"</formula1>
      <formula2>0</formula2>
    </dataValidation>
    <dataValidation allowBlank="true" errorStyle="stop" operator="between" showDropDown="false" showErrorMessage="false" showInputMessage="false" sqref="L6:L105" type="list">
      <formula1>"M,F"</formula1>
      <formula2>0</formula2>
    </dataValidation>
    <dataValidation allowBlank="true" errorStyle="stop" operator="between" showDropDown="false" showErrorMessage="false" showInputMessage="false" sqref="R6:R105" type="list">
      <formula1>"NIN,BVN,Voter Card,Passport"</formula1>
      <formula2>0</formula2>
    </dataValidation>
    <dataValidation allowBlank="true" errorStyle="stop" operator="between" showDropDown="false" showErrorMessage="false" showInputMessage="false" sqref="Z6:Z105" type="list">
      <formula1>"Pending,Active,Rejected"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36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101</v>
      </c>
      <c r="B2" s="3"/>
      <c r="C2" s="3"/>
      <c r="D2" s="3"/>
      <c r="E2" s="3"/>
      <c r="F2" s="3"/>
      <c r="G2" s="3"/>
      <c r="H2" s="3"/>
    </row>
    <row r="3" customFormat="false" ht="15.75" hidden="false" customHeight="true" outlineLevel="0" collapsed="false">
      <c r="A3" s="4" t="s">
        <v>102</v>
      </c>
      <c r="B3" s="4"/>
      <c r="C3" s="4"/>
      <c r="D3" s="4"/>
      <c r="E3" s="4"/>
      <c r="F3" s="4"/>
      <c r="G3" s="4"/>
      <c r="H3" s="4"/>
    </row>
    <row r="4" customFormat="false" ht="25.5" hidden="false" customHeight="true" outlineLevel="0" collapsed="false">
      <c r="A4" s="13" t="s">
        <v>103</v>
      </c>
      <c r="B4" s="13" t="s">
        <v>104</v>
      </c>
      <c r="C4" s="13" t="s">
        <v>105</v>
      </c>
      <c r="D4" s="13" t="s">
        <v>106</v>
      </c>
      <c r="E4" s="13" t="s">
        <v>107</v>
      </c>
      <c r="F4" s="13" t="s">
        <v>43</v>
      </c>
      <c r="G4" s="13" t="s">
        <v>108</v>
      </c>
      <c r="H4" s="13" t="s">
        <v>48</v>
      </c>
    </row>
    <row r="5" customFormat="false" ht="18" hidden="false" customHeight="true" outlineLevel="0" collapsed="false">
      <c r="A5" s="6" t="s">
        <v>109</v>
      </c>
      <c r="B5" s="6" t="s">
        <v>110</v>
      </c>
      <c r="C5" s="6" t="s">
        <v>82</v>
      </c>
      <c r="D5" s="6" t="s">
        <v>111</v>
      </c>
      <c r="E5" s="6" t="s">
        <v>112</v>
      </c>
      <c r="F5" s="6" t="s">
        <v>113</v>
      </c>
      <c r="G5" s="6"/>
      <c r="H5" s="6" t="s">
        <v>53</v>
      </c>
    </row>
    <row r="6" customFormat="false" ht="18" hidden="false" customHeight="true" outlineLevel="0" collapsed="false">
      <c r="A6" s="14" t="s">
        <v>114</v>
      </c>
      <c r="B6" s="14" t="s">
        <v>66</v>
      </c>
      <c r="C6" s="14" t="s">
        <v>115</v>
      </c>
      <c r="D6" s="14" t="s">
        <v>116</v>
      </c>
      <c r="E6" s="14" t="s">
        <v>117</v>
      </c>
      <c r="F6" s="14" t="s">
        <v>49</v>
      </c>
      <c r="G6" s="14"/>
      <c r="H6" s="14" t="s">
        <v>53</v>
      </c>
    </row>
    <row r="7" customFormat="false" ht="18" hidden="false" customHeight="true" outlineLevel="0" collapsed="false">
      <c r="A7" s="6" t="s">
        <v>118</v>
      </c>
      <c r="B7" s="6" t="s">
        <v>84</v>
      </c>
      <c r="C7" s="6" t="s">
        <v>119</v>
      </c>
      <c r="D7" s="6" t="s">
        <v>116</v>
      </c>
      <c r="E7" s="6" t="s">
        <v>117</v>
      </c>
      <c r="F7" s="6" t="s">
        <v>49</v>
      </c>
      <c r="G7" s="6"/>
      <c r="H7" s="6" t="s">
        <v>53</v>
      </c>
    </row>
    <row r="8" customFormat="false" ht="18" hidden="false" customHeight="true" outlineLevel="0" collapsed="false">
      <c r="A8" s="14" t="s">
        <v>120</v>
      </c>
      <c r="B8" s="14" t="s">
        <v>110</v>
      </c>
      <c r="C8" s="14" t="s">
        <v>121</v>
      </c>
      <c r="D8" s="14" t="s">
        <v>116</v>
      </c>
      <c r="E8" s="14" t="s">
        <v>122</v>
      </c>
      <c r="F8" s="14" t="s">
        <v>54</v>
      </c>
      <c r="G8" s="14"/>
      <c r="H8" s="14" t="s">
        <v>53</v>
      </c>
    </row>
    <row r="9" customFormat="false" ht="18" hidden="false" customHeight="true" outlineLevel="0" collapsed="false">
      <c r="A9" s="6"/>
      <c r="B9" s="6"/>
      <c r="C9" s="6"/>
      <c r="D9" s="6"/>
      <c r="E9" s="6"/>
      <c r="F9" s="6"/>
      <c r="G9" s="6"/>
      <c r="H9" s="6"/>
    </row>
    <row r="10" customFormat="false" ht="18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</row>
    <row r="11" customFormat="false" ht="18" hidden="false" customHeight="tru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8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</row>
    <row r="13" customFormat="false" ht="18" hidden="false" customHeight="tru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8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</row>
    <row r="15" customFormat="false" ht="18" hidden="false" customHeight="tru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8" hidden="false" customHeight="true" outlineLevel="0" collapsed="false">
      <c r="A16" s="14"/>
      <c r="B16" s="14"/>
      <c r="C16" s="14"/>
      <c r="D16" s="14"/>
      <c r="E16" s="14"/>
      <c r="F16" s="14"/>
      <c r="G16" s="14"/>
      <c r="H16" s="14"/>
    </row>
    <row r="17" customFormat="false" ht="18" hidden="false" customHeight="tru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8" hidden="false" customHeight="true" outlineLevel="0" collapsed="false">
      <c r="A18" s="14"/>
      <c r="B18" s="14"/>
      <c r="C18" s="14"/>
      <c r="D18" s="14"/>
      <c r="E18" s="14"/>
      <c r="F18" s="14"/>
      <c r="G18" s="14"/>
      <c r="H18" s="14"/>
    </row>
    <row r="19" customFormat="false" ht="18" hidden="false" customHeight="true" outlineLevel="0" collapsed="false">
      <c r="A19" s="6"/>
      <c r="B19" s="6"/>
      <c r="C19" s="6"/>
      <c r="D19" s="6"/>
      <c r="E19" s="6"/>
      <c r="F19" s="6"/>
      <c r="G19" s="6"/>
      <c r="H19" s="6"/>
    </row>
    <row r="20" customFormat="false" ht="18" hidden="false" customHeight="true" outlineLevel="0" collapsed="false">
      <c r="A20" s="14"/>
      <c r="B20" s="14"/>
      <c r="C20" s="14"/>
      <c r="D20" s="14"/>
      <c r="E20" s="14"/>
      <c r="F20" s="14"/>
      <c r="G20" s="14"/>
      <c r="H20" s="14"/>
    </row>
    <row r="21" customFormat="false" ht="18" hidden="false" customHeight="true" outlineLevel="0" collapsed="false">
      <c r="A21" s="6"/>
      <c r="B21" s="6"/>
      <c r="C21" s="6"/>
      <c r="D21" s="6"/>
      <c r="E21" s="6"/>
      <c r="F21" s="6"/>
      <c r="G21" s="6"/>
      <c r="H21" s="6"/>
    </row>
    <row r="22" customFormat="false" ht="18" hidden="false" customHeight="true" outlineLevel="0" collapsed="false">
      <c r="A22" s="14"/>
      <c r="B22" s="14"/>
      <c r="C22" s="14"/>
      <c r="D22" s="14"/>
      <c r="E22" s="14"/>
      <c r="F22" s="14"/>
      <c r="G22" s="14"/>
      <c r="H22" s="14"/>
    </row>
    <row r="23" customFormat="false" ht="18" hidden="false" customHeight="true" outlineLevel="0" collapsed="false">
      <c r="A23" s="6"/>
      <c r="B23" s="6"/>
      <c r="C23" s="6"/>
      <c r="D23" s="6"/>
      <c r="E23" s="6"/>
      <c r="F23" s="6"/>
      <c r="G23" s="6"/>
      <c r="H23" s="6"/>
    </row>
    <row r="24" customFormat="false" ht="18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</row>
    <row r="25" customFormat="false" ht="18" hidden="false" customHeight="true" outlineLevel="0" collapsed="false">
      <c r="A25" s="6"/>
      <c r="B25" s="6"/>
      <c r="C25" s="6"/>
      <c r="D25" s="6"/>
      <c r="E25" s="6"/>
      <c r="F25" s="6"/>
      <c r="G25" s="6"/>
      <c r="H25" s="6"/>
    </row>
    <row r="26" customFormat="false" ht="18" hidden="false" customHeight="true" outlineLevel="0" collapsed="false">
      <c r="A26" s="14"/>
      <c r="B26" s="14"/>
      <c r="C26" s="14"/>
      <c r="D26" s="14"/>
      <c r="E26" s="14"/>
      <c r="F26" s="14"/>
      <c r="G26" s="14"/>
      <c r="H26" s="14"/>
    </row>
    <row r="27" customFormat="false" ht="18" hidden="false" customHeight="true" outlineLevel="0" collapsed="false">
      <c r="A27" s="6"/>
      <c r="B27" s="6"/>
      <c r="C27" s="6"/>
      <c r="D27" s="6"/>
      <c r="E27" s="6"/>
      <c r="F27" s="6"/>
      <c r="G27" s="6"/>
      <c r="H27" s="6"/>
    </row>
    <row r="28" customFormat="false" ht="18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</row>
    <row r="29" customFormat="false" ht="18" hidden="false" customHeight="true" outlineLevel="0" collapsed="false">
      <c r="A29" s="6"/>
      <c r="B29" s="6"/>
      <c r="C29" s="6"/>
      <c r="D29" s="6"/>
      <c r="E29" s="6"/>
      <c r="F29" s="6"/>
      <c r="G29" s="6"/>
      <c r="H29" s="6"/>
    </row>
    <row r="30" customFormat="false" ht="18" hidden="false" customHeight="true" outlineLevel="0" collapsed="false">
      <c r="A30" s="14"/>
      <c r="B30" s="14"/>
      <c r="C30" s="14"/>
      <c r="D30" s="14"/>
      <c r="E30" s="14"/>
      <c r="F30" s="14"/>
      <c r="G30" s="14"/>
      <c r="H30" s="14"/>
    </row>
    <row r="31" customFormat="false" ht="18" hidden="false" customHeight="true" outlineLevel="0" collapsed="false">
      <c r="A31" s="6"/>
      <c r="B31" s="6"/>
      <c r="C31" s="6"/>
      <c r="D31" s="6"/>
      <c r="E31" s="6"/>
      <c r="F31" s="6"/>
      <c r="G31" s="6"/>
      <c r="H31" s="6"/>
    </row>
    <row r="32" customFormat="false" ht="18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</row>
    <row r="33" customFormat="false" ht="18" hidden="false" customHeight="true" outlineLevel="0" collapsed="false">
      <c r="A33" s="6"/>
      <c r="B33" s="6"/>
      <c r="C33" s="6"/>
      <c r="D33" s="6"/>
      <c r="E33" s="6"/>
      <c r="F33" s="6"/>
      <c r="G33" s="6"/>
      <c r="H33" s="6"/>
    </row>
    <row r="34" customFormat="false" ht="18" hidden="false" customHeight="true" outlineLevel="0" collapsed="false">
      <c r="A34" s="14"/>
      <c r="B34" s="14"/>
      <c r="C34" s="14"/>
      <c r="D34" s="14"/>
      <c r="E34" s="14"/>
      <c r="F34" s="14"/>
      <c r="G34" s="14"/>
      <c r="H34" s="14"/>
    </row>
    <row r="35" customFormat="false" ht="18" hidden="false" customHeight="true" outlineLevel="0" collapsed="false">
      <c r="A35" s="6"/>
      <c r="B35" s="6"/>
      <c r="C35" s="6"/>
      <c r="D35" s="6"/>
      <c r="E35" s="6"/>
      <c r="F35" s="6"/>
      <c r="G35" s="6"/>
      <c r="H35" s="6"/>
    </row>
    <row r="36" customFormat="false" ht="18" hidden="false" customHeight="true" outlineLevel="0" collapsed="false">
      <c r="A36" s="14"/>
      <c r="B36" s="14"/>
      <c r="C36" s="14"/>
      <c r="D36" s="14"/>
      <c r="E36" s="14"/>
      <c r="F36" s="14"/>
      <c r="G36" s="14"/>
      <c r="H36" s="14"/>
    </row>
    <row r="37" customFormat="false" ht="18" hidden="false" customHeight="true" outlineLevel="0" collapsed="false">
      <c r="A37" s="6"/>
      <c r="B37" s="6"/>
      <c r="C37" s="6"/>
      <c r="D37" s="6"/>
      <c r="E37" s="6"/>
      <c r="F37" s="6"/>
      <c r="G37" s="6"/>
      <c r="H37" s="6"/>
    </row>
    <row r="38" customFormat="false" ht="18" hidden="false" customHeight="true" outlineLevel="0" collapsed="false">
      <c r="A38" s="14"/>
      <c r="B38" s="14"/>
      <c r="C38" s="14"/>
      <c r="D38" s="14"/>
      <c r="E38" s="14"/>
      <c r="F38" s="14"/>
      <c r="G38" s="14"/>
      <c r="H38" s="14"/>
    </row>
    <row r="39" customFormat="false" ht="18" hidden="false" customHeight="true" outlineLevel="0" collapsed="false">
      <c r="A39" s="6"/>
      <c r="B39" s="6"/>
      <c r="C39" s="6"/>
      <c r="D39" s="6"/>
      <c r="E39" s="6"/>
      <c r="F39" s="6"/>
      <c r="G39" s="6"/>
      <c r="H39" s="6"/>
    </row>
    <row r="40" customFormat="false" ht="18" hidden="false" customHeight="true" outlineLevel="0" collapsed="false">
      <c r="A40" s="14"/>
      <c r="B40" s="14"/>
      <c r="C40" s="14"/>
      <c r="D40" s="14"/>
      <c r="E40" s="14"/>
      <c r="F40" s="14"/>
      <c r="G40" s="14"/>
      <c r="H40" s="14"/>
    </row>
    <row r="41" customFormat="false" ht="18" hidden="false" customHeight="true" outlineLevel="0" collapsed="false">
      <c r="A41" s="6"/>
      <c r="B41" s="6"/>
      <c r="C41" s="6"/>
      <c r="D41" s="6"/>
      <c r="E41" s="6"/>
      <c r="F41" s="6"/>
      <c r="G41" s="6"/>
      <c r="H41" s="6"/>
    </row>
    <row r="42" customFormat="false" ht="18" hidden="false" customHeight="true" outlineLevel="0" collapsed="false">
      <c r="A42" s="14"/>
      <c r="B42" s="14"/>
      <c r="C42" s="14"/>
      <c r="D42" s="14"/>
      <c r="E42" s="14"/>
      <c r="F42" s="14"/>
      <c r="G42" s="14"/>
      <c r="H42" s="14"/>
    </row>
    <row r="43" customFormat="false" ht="18" hidden="false" customHeight="true" outlineLevel="0" collapsed="false">
      <c r="A43" s="6"/>
      <c r="B43" s="6"/>
      <c r="C43" s="6"/>
      <c r="D43" s="6"/>
      <c r="E43" s="6"/>
      <c r="F43" s="6"/>
      <c r="G43" s="6"/>
      <c r="H43" s="6"/>
    </row>
    <row r="44" customFormat="false" ht="18" hidden="false" customHeight="true" outlineLevel="0" collapsed="false">
      <c r="A44" s="14"/>
      <c r="B44" s="14"/>
      <c r="C44" s="14"/>
      <c r="D44" s="14"/>
      <c r="E44" s="14"/>
      <c r="F44" s="14"/>
      <c r="G44" s="14"/>
      <c r="H44" s="14"/>
    </row>
    <row r="45" customFormat="false" ht="18" hidden="false" customHeight="true" outlineLevel="0" collapsed="false">
      <c r="A45" s="6"/>
      <c r="B45" s="6"/>
      <c r="C45" s="6"/>
      <c r="D45" s="6"/>
      <c r="E45" s="6"/>
      <c r="F45" s="6"/>
      <c r="G45" s="6"/>
      <c r="H45" s="6"/>
    </row>
    <row r="46" customFormat="false" ht="18" hidden="false" customHeight="true" outlineLevel="0" collapsed="false">
      <c r="A46" s="14"/>
      <c r="B46" s="14"/>
      <c r="C46" s="14"/>
      <c r="D46" s="14"/>
      <c r="E46" s="14"/>
      <c r="F46" s="14"/>
      <c r="G46" s="14"/>
      <c r="H46" s="14"/>
    </row>
    <row r="47" customFormat="false" ht="18" hidden="false" customHeight="true" outlineLevel="0" collapsed="false">
      <c r="A47" s="6"/>
      <c r="B47" s="6"/>
      <c r="C47" s="6"/>
      <c r="D47" s="6"/>
      <c r="E47" s="6"/>
      <c r="F47" s="6"/>
      <c r="G47" s="6"/>
      <c r="H47" s="6"/>
    </row>
    <row r="48" customFormat="false" ht="18" hidden="false" customHeight="true" outlineLevel="0" collapsed="false">
      <c r="A48" s="14"/>
      <c r="B48" s="14"/>
      <c r="C48" s="14"/>
      <c r="D48" s="14"/>
      <c r="E48" s="14"/>
      <c r="F48" s="14"/>
      <c r="G48" s="14"/>
      <c r="H48" s="14"/>
    </row>
    <row r="49" customFormat="false" ht="18" hidden="false" customHeight="true" outlineLevel="0" collapsed="false">
      <c r="A49" s="6"/>
      <c r="B49" s="6"/>
      <c r="C49" s="6"/>
      <c r="D49" s="6"/>
      <c r="E49" s="6"/>
      <c r="F49" s="6"/>
      <c r="G49" s="6"/>
      <c r="H49" s="6"/>
    </row>
    <row r="50" customFormat="false" ht="18" hidden="false" customHeight="true" outlineLevel="0" collapsed="false">
      <c r="A50" s="14"/>
      <c r="B50" s="14"/>
      <c r="C50" s="14"/>
      <c r="D50" s="14"/>
      <c r="E50" s="14"/>
      <c r="F50" s="14"/>
      <c r="G50" s="14"/>
      <c r="H50" s="14"/>
    </row>
    <row r="51" customFormat="false" ht="18" hidden="false" customHeight="true" outlineLevel="0" collapsed="false">
      <c r="A51" s="6"/>
      <c r="B51" s="6"/>
      <c r="C51" s="6"/>
      <c r="D51" s="6"/>
      <c r="E51" s="6"/>
      <c r="F51" s="6"/>
      <c r="G51" s="6"/>
      <c r="H51" s="6"/>
    </row>
    <row r="52" customFormat="false" ht="18" hidden="false" customHeight="true" outlineLevel="0" collapsed="false">
      <c r="A52" s="14"/>
      <c r="B52" s="14"/>
      <c r="C52" s="14"/>
      <c r="D52" s="14"/>
      <c r="E52" s="14"/>
      <c r="F52" s="14"/>
      <c r="G52" s="14"/>
      <c r="H52" s="14"/>
    </row>
    <row r="53" customFormat="false" ht="18" hidden="false" customHeight="true" outlineLevel="0" collapsed="false">
      <c r="A53" s="6"/>
      <c r="B53" s="6"/>
      <c r="C53" s="6"/>
      <c r="D53" s="6"/>
      <c r="E53" s="6"/>
      <c r="F53" s="6"/>
      <c r="G53" s="6"/>
      <c r="H53" s="6"/>
    </row>
    <row r="54" customFormat="false" ht="18" hidden="false" customHeight="true" outlineLevel="0" collapsed="false">
      <c r="A54" s="14"/>
      <c r="B54" s="14"/>
      <c r="C54" s="14"/>
      <c r="D54" s="14"/>
      <c r="E54" s="14"/>
      <c r="F54" s="14"/>
      <c r="G54" s="14"/>
      <c r="H54" s="14"/>
    </row>
    <row r="55" customFormat="false" ht="18" hidden="false" customHeight="true" outlineLevel="0" collapsed="false">
      <c r="A55" s="6"/>
      <c r="B55" s="6"/>
      <c r="C55" s="6"/>
      <c r="D55" s="6"/>
      <c r="E55" s="6"/>
      <c r="F55" s="6"/>
      <c r="G55" s="6"/>
      <c r="H55" s="6"/>
    </row>
    <row r="56" customFormat="false" ht="18" hidden="false" customHeight="true" outlineLevel="0" collapsed="false">
      <c r="A56" s="14"/>
      <c r="B56" s="14"/>
      <c r="C56" s="14"/>
      <c r="D56" s="14"/>
      <c r="E56" s="14"/>
      <c r="F56" s="14"/>
      <c r="G56" s="14"/>
      <c r="H56" s="14"/>
    </row>
    <row r="57" customFormat="false" ht="18" hidden="false" customHeight="true" outlineLevel="0" collapsed="false">
      <c r="A57" s="6"/>
      <c r="B57" s="6"/>
      <c r="C57" s="6"/>
      <c r="D57" s="6"/>
      <c r="E57" s="6"/>
      <c r="F57" s="6"/>
      <c r="G57" s="6"/>
      <c r="H57" s="6"/>
    </row>
    <row r="58" customFormat="false" ht="18" hidden="false" customHeight="true" outlineLevel="0" collapsed="false">
      <c r="A58" s="14"/>
      <c r="B58" s="14"/>
      <c r="C58" s="14"/>
      <c r="D58" s="14"/>
      <c r="E58" s="14"/>
      <c r="F58" s="14"/>
      <c r="G58" s="14"/>
      <c r="H58" s="14"/>
    </row>
    <row r="59" customFormat="false" ht="18" hidden="false" customHeight="true" outlineLevel="0" collapsed="false">
      <c r="A59" s="6"/>
      <c r="B59" s="6"/>
      <c r="C59" s="6"/>
      <c r="D59" s="6"/>
      <c r="E59" s="6"/>
      <c r="F59" s="6"/>
      <c r="G59" s="6"/>
      <c r="H59" s="6"/>
    </row>
    <row r="60" customFormat="false" ht="18" hidden="false" customHeight="true" outlineLevel="0" collapsed="false">
      <c r="A60" s="14"/>
      <c r="B60" s="14"/>
      <c r="C60" s="14"/>
      <c r="D60" s="14"/>
      <c r="E60" s="14"/>
      <c r="F60" s="14"/>
      <c r="G60" s="14"/>
      <c r="H60" s="14"/>
    </row>
    <row r="61" customFormat="false" ht="18" hidden="false" customHeight="true" outlineLevel="0" collapsed="false">
      <c r="A61" s="6"/>
      <c r="B61" s="6"/>
      <c r="C61" s="6"/>
      <c r="D61" s="6"/>
      <c r="E61" s="6"/>
      <c r="F61" s="6"/>
      <c r="G61" s="6"/>
      <c r="H61" s="6"/>
    </row>
    <row r="62" customFormat="false" ht="18" hidden="false" customHeight="true" outlineLevel="0" collapsed="false">
      <c r="A62" s="14"/>
      <c r="B62" s="14"/>
      <c r="C62" s="14"/>
      <c r="D62" s="14"/>
      <c r="E62" s="14"/>
      <c r="F62" s="14"/>
      <c r="G62" s="14"/>
      <c r="H62" s="14"/>
    </row>
    <row r="63" customFormat="false" ht="18" hidden="false" customHeight="true" outlineLevel="0" collapsed="false">
      <c r="A63" s="6"/>
      <c r="B63" s="6"/>
      <c r="C63" s="6"/>
      <c r="D63" s="6"/>
      <c r="E63" s="6"/>
      <c r="F63" s="6"/>
      <c r="G63" s="6"/>
      <c r="H63" s="6"/>
    </row>
    <row r="64" customFormat="false" ht="18" hidden="false" customHeight="true" outlineLevel="0" collapsed="false">
      <c r="A64" s="14"/>
      <c r="B64" s="14"/>
      <c r="C64" s="14"/>
      <c r="D64" s="14"/>
      <c r="E64" s="14"/>
      <c r="F64" s="14"/>
      <c r="G64" s="14"/>
      <c r="H64" s="14"/>
    </row>
    <row r="65" customFormat="false" ht="18" hidden="false" customHeight="true" outlineLevel="0" collapsed="false">
      <c r="A65" s="6"/>
      <c r="B65" s="6"/>
      <c r="C65" s="6"/>
      <c r="D65" s="6"/>
      <c r="E65" s="6"/>
      <c r="F65" s="6"/>
      <c r="G65" s="6"/>
      <c r="H65" s="6"/>
    </row>
    <row r="66" customFormat="false" ht="18" hidden="false" customHeight="true" outlineLevel="0" collapsed="false">
      <c r="A66" s="14"/>
      <c r="B66" s="14"/>
      <c r="C66" s="14"/>
      <c r="D66" s="14"/>
      <c r="E66" s="14"/>
      <c r="F66" s="14"/>
      <c r="G66" s="14"/>
      <c r="H66" s="14"/>
    </row>
    <row r="67" customFormat="false" ht="18" hidden="false" customHeight="true" outlineLevel="0" collapsed="false">
      <c r="A67" s="6"/>
      <c r="B67" s="6"/>
      <c r="C67" s="6"/>
      <c r="D67" s="6"/>
      <c r="E67" s="6"/>
      <c r="F67" s="6"/>
      <c r="G67" s="6"/>
      <c r="H67" s="6"/>
    </row>
    <row r="68" customFormat="false" ht="18" hidden="false" customHeight="true" outlineLevel="0" collapsed="false">
      <c r="A68" s="14"/>
      <c r="B68" s="14"/>
      <c r="C68" s="14"/>
      <c r="D68" s="14"/>
      <c r="E68" s="14"/>
      <c r="F68" s="14"/>
      <c r="G68" s="14"/>
      <c r="H68" s="14"/>
    </row>
    <row r="69" customFormat="false" ht="18" hidden="false" customHeight="true" outlineLevel="0" collapsed="false">
      <c r="A69" s="6"/>
      <c r="B69" s="6"/>
      <c r="C69" s="6"/>
      <c r="D69" s="6"/>
      <c r="E69" s="6"/>
      <c r="F69" s="6"/>
      <c r="G69" s="6"/>
      <c r="H69" s="6"/>
    </row>
    <row r="70" customFormat="false" ht="18" hidden="false" customHeight="true" outlineLevel="0" collapsed="false">
      <c r="A70" s="14"/>
      <c r="B70" s="14"/>
      <c r="C70" s="14"/>
      <c r="D70" s="14"/>
      <c r="E70" s="14"/>
      <c r="F70" s="14"/>
      <c r="G70" s="14"/>
      <c r="H70" s="14"/>
    </row>
    <row r="71" customFormat="false" ht="18" hidden="false" customHeight="true" outlineLevel="0" collapsed="false">
      <c r="A71" s="6"/>
      <c r="B71" s="6"/>
      <c r="C71" s="6"/>
      <c r="D71" s="6"/>
      <c r="E71" s="6"/>
      <c r="F71" s="6"/>
      <c r="G71" s="6"/>
      <c r="H71" s="6"/>
    </row>
    <row r="72" customFormat="false" ht="18" hidden="false" customHeight="true" outlineLevel="0" collapsed="false">
      <c r="A72" s="14"/>
      <c r="B72" s="14"/>
      <c r="C72" s="14"/>
      <c r="D72" s="14"/>
      <c r="E72" s="14"/>
      <c r="F72" s="14"/>
      <c r="G72" s="14"/>
      <c r="H72" s="14"/>
    </row>
    <row r="73" customFormat="false" ht="18" hidden="false" customHeight="true" outlineLevel="0" collapsed="false">
      <c r="A73" s="6"/>
      <c r="B73" s="6"/>
      <c r="C73" s="6"/>
      <c r="D73" s="6"/>
      <c r="E73" s="6"/>
      <c r="F73" s="6"/>
      <c r="G73" s="6"/>
      <c r="H73" s="6"/>
    </row>
    <row r="74" customFormat="false" ht="18" hidden="false" customHeight="true" outlineLevel="0" collapsed="false">
      <c r="A74" s="14"/>
      <c r="B74" s="14"/>
      <c r="C74" s="14"/>
      <c r="D74" s="14"/>
      <c r="E74" s="14"/>
      <c r="F74" s="14"/>
      <c r="G74" s="14"/>
      <c r="H74" s="14"/>
    </row>
    <row r="75" customFormat="false" ht="18" hidden="false" customHeight="true" outlineLevel="0" collapsed="false">
      <c r="A75" s="6"/>
      <c r="B75" s="6"/>
      <c r="C75" s="6"/>
      <c r="D75" s="6"/>
      <c r="E75" s="6"/>
      <c r="F75" s="6"/>
      <c r="G75" s="6"/>
      <c r="H75" s="6"/>
    </row>
    <row r="76" customFormat="false" ht="18" hidden="false" customHeight="true" outlineLevel="0" collapsed="false">
      <c r="A76" s="14"/>
      <c r="B76" s="14"/>
      <c r="C76" s="14"/>
      <c r="D76" s="14"/>
      <c r="E76" s="14"/>
      <c r="F76" s="14"/>
      <c r="G76" s="14"/>
      <c r="H76" s="14"/>
    </row>
    <row r="77" customFormat="false" ht="18" hidden="false" customHeight="true" outlineLevel="0" collapsed="false">
      <c r="A77" s="6"/>
      <c r="B77" s="6"/>
      <c r="C77" s="6"/>
      <c r="D77" s="6"/>
      <c r="E77" s="6"/>
      <c r="F77" s="6"/>
      <c r="G77" s="6"/>
      <c r="H77" s="6"/>
    </row>
    <row r="78" customFormat="false" ht="18" hidden="false" customHeight="true" outlineLevel="0" collapsed="false">
      <c r="A78" s="14"/>
      <c r="B78" s="14"/>
      <c r="C78" s="14"/>
      <c r="D78" s="14"/>
      <c r="E78" s="14"/>
      <c r="F78" s="14"/>
      <c r="G78" s="14"/>
      <c r="H78" s="14"/>
    </row>
    <row r="79" customFormat="false" ht="18" hidden="false" customHeight="true" outlineLevel="0" collapsed="false">
      <c r="A79" s="6"/>
      <c r="B79" s="6"/>
      <c r="C79" s="6"/>
      <c r="D79" s="6"/>
      <c r="E79" s="6"/>
      <c r="F79" s="6"/>
      <c r="G79" s="6"/>
      <c r="H79" s="6"/>
    </row>
    <row r="80" customFormat="false" ht="18" hidden="false" customHeight="true" outlineLevel="0" collapsed="false">
      <c r="A80" s="14"/>
      <c r="B80" s="14"/>
      <c r="C80" s="14"/>
      <c r="D80" s="14"/>
      <c r="E80" s="14"/>
      <c r="F80" s="14"/>
      <c r="G80" s="14"/>
      <c r="H80" s="14"/>
    </row>
    <row r="81" customFormat="false" ht="18" hidden="false" customHeight="true" outlineLevel="0" collapsed="false">
      <c r="A81" s="6"/>
      <c r="B81" s="6"/>
      <c r="C81" s="6"/>
      <c r="D81" s="6"/>
      <c r="E81" s="6"/>
      <c r="F81" s="6"/>
      <c r="G81" s="6"/>
      <c r="H81" s="6"/>
    </row>
    <row r="82" customFormat="false" ht="18" hidden="false" customHeight="true" outlineLevel="0" collapsed="false">
      <c r="A82" s="14"/>
      <c r="B82" s="14"/>
      <c r="C82" s="14"/>
      <c r="D82" s="14"/>
      <c r="E82" s="14"/>
      <c r="F82" s="14"/>
      <c r="G82" s="14"/>
      <c r="H82" s="14"/>
    </row>
    <row r="83" customFormat="false" ht="18" hidden="false" customHeight="true" outlineLevel="0" collapsed="false">
      <c r="A83" s="6"/>
      <c r="B83" s="6"/>
      <c r="C83" s="6"/>
      <c r="D83" s="6"/>
      <c r="E83" s="6"/>
      <c r="F83" s="6"/>
      <c r="G83" s="6"/>
      <c r="H83" s="6"/>
    </row>
    <row r="84" customFormat="false" ht="18" hidden="false" customHeight="true" outlineLevel="0" collapsed="false">
      <c r="A84" s="14"/>
      <c r="B84" s="14"/>
      <c r="C84" s="14"/>
      <c r="D84" s="14"/>
      <c r="E84" s="14"/>
      <c r="F84" s="14"/>
      <c r="G84" s="14"/>
      <c r="H84" s="14"/>
    </row>
    <row r="85" customFormat="false" ht="18" hidden="false" customHeight="true" outlineLevel="0" collapsed="false">
      <c r="A85" s="6"/>
      <c r="B85" s="6"/>
      <c r="C85" s="6"/>
      <c r="D85" s="6"/>
      <c r="E85" s="6"/>
      <c r="F85" s="6"/>
      <c r="G85" s="6"/>
      <c r="H85" s="6"/>
    </row>
    <row r="86" customFormat="false" ht="18" hidden="false" customHeight="true" outlineLevel="0" collapsed="false">
      <c r="A86" s="14"/>
      <c r="B86" s="14"/>
      <c r="C86" s="14"/>
      <c r="D86" s="14"/>
      <c r="E86" s="14"/>
      <c r="F86" s="14"/>
      <c r="G86" s="14"/>
      <c r="H86" s="14"/>
    </row>
    <row r="87" customFormat="false" ht="18" hidden="false" customHeight="true" outlineLevel="0" collapsed="false">
      <c r="A87" s="6"/>
      <c r="B87" s="6"/>
      <c r="C87" s="6"/>
      <c r="D87" s="6"/>
      <c r="E87" s="6"/>
      <c r="F87" s="6"/>
      <c r="G87" s="6"/>
      <c r="H87" s="6"/>
    </row>
    <row r="88" customFormat="false" ht="18" hidden="false" customHeight="true" outlineLevel="0" collapsed="false">
      <c r="A88" s="14"/>
      <c r="B88" s="14"/>
      <c r="C88" s="14"/>
      <c r="D88" s="14"/>
      <c r="E88" s="14"/>
      <c r="F88" s="14"/>
      <c r="G88" s="14"/>
      <c r="H88" s="14"/>
    </row>
    <row r="89" customFormat="false" ht="18" hidden="false" customHeight="true" outlineLevel="0" collapsed="false">
      <c r="A89" s="6"/>
      <c r="B89" s="6"/>
      <c r="C89" s="6"/>
      <c r="D89" s="6"/>
      <c r="E89" s="6"/>
      <c r="F89" s="6"/>
      <c r="G89" s="6"/>
      <c r="H89" s="6"/>
    </row>
    <row r="90" customFormat="false" ht="18" hidden="false" customHeight="true" outlineLevel="0" collapsed="false">
      <c r="A90" s="14"/>
      <c r="B90" s="14"/>
      <c r="C90" s="14"/>
      <c r="D90" s="14"/>
      <c r="E90" s="14"/>
      <c r="F90" s="14"/>
      <c r="G90" s="14"/>
      <c r="H90" s="14"/>
    </row>
    <row r="91" customFormat="false" ht="18" hidden="false" customHeight="true" outlineLevel="0" collapsed="false">
      <c r="A91" s="6"/>
      <c r="B91" s="6"/>
      <c r="C91" s="6"/>
      <c r="D91" s="6"/>
      <c r="E91" s="6"/>
      <c r="F91" s="6"/>
      <c r="G91" s="6"/>
      <c r="H91" s="6"/>
    </row>
    <row r="92" customFormat="false" ht="18" hidden="false" customHeight="true" outlineLevel="0" collapsed="false">
      <c r="A92" s="14"/>
      <c r="B92" s="14"/>
      <c r="C92" s="14"/>
      <c r="D92" s="14"/>
      <c r="E92" s="14"/>
      <c r="F92" s="14"/>
      <c r="G92" s="14"/>
      <c r="H92" s="14"/>
    </row>
    <row r="93" customFormat="false" ht="18" hidden="false" customHeight="true" outlineLevel="0" collapsed="false">
      <c r="A93" s="6"/>
      <c r="B93" s="6"/>
      <c r="C93" s="6"/>
      <c r="D93" s="6"/>
      <c r="E93" s="6"/>
      <c r="F93" s="6"/>
      <c r="G93" s="6"/>
      <c r="H93" s="6"/>
    </row>
    <row r="94" customFormat="false" ht="18" hidden="false" customHeight="true" outlineLevel="0" collapsed="false">
      <c r="A94" s="14"/>
      <c r="B94" s="14"/>
      <c r="C94" s="14"/>
      <c r="D94" s="14"/>
      <c r="E94" s="14"/>
      <c r="F94" s="14"/>
      <c r="G94" s="14"/>
      <c r="H94" s="14"/>
    </row>
    <row r="95" customFormat="false" ht="18" hidden="false" customHeight="true" outlineLevel="0" collapsed="false">
      <c r="A95" s="6"/>
      <c r="B95" s="6"/>
      <c r="C95" s="6"/>
      <c r="D95" s="6"/>
      <c r="E95" s="6"/>
      <c r="F95" s="6"/>
      <c r="G95" s="6"/>
      <c r="H95" s="6"/>
    </row>
    <row r="96" customFormat="false" ht="18" hidden="false" customHeight="true" outlineLevel="0" collapsed="false">
      <c r="A96" s="14"/>
      <c r="B96" s="14"/>
      <c r="C96" s="14"/>
      <c r="D96" s="14"/>
      <c r="E96" s="14"/>
      <c r="F96" s="14"/>
      <c r="G96" s="14"/>
      <c r="H96" s="14"/>
    </row>
    <row r="97" customFormat="false" ht="18" hidden="false" customHeight="true" outlineLevel="0" collapsed="false">
      <c r="A97" s="6"/>
      <c r="B97" s="6"/>
      <c r="C97" s="6"/>
      <c r="D97" s="6"/>
      <c r="E97" s="6"/>
      <c r="F97" s="6"/>
      <c r="G97" s="6"/>
      <c r="H97" s="6"/>
    </row>
    <row r="98" customFormat="false" ht="18" hidden="false" customHeight="true" outlineLevel="0" collapsed="false">
      <c r="A98" s="14"/>
      <c r="B98" s="14"/>
      <c r="C98" s="14"/>
      <c r="D98" s="14"/>
      <c r="E98" s="14"/>
      <c r="F98" s="14"/>
      <c r="G98" s="14"/>
      <c r="H98" s="14"/>
    </row>
    <row r="99" customFormat="false" ht="18" hidden="false" customHeight="true" outlineLevel="0" collapsed="false">
      <c r="A99" s="6"/>
      <c r="B99" s="6"/>
      <c r="C99" s="6"/>
      <c r="D99" s="6"/>
      <c r="E99" s="6"/>
      <c r="F99" s="6"/>
      <c r="G99" s="6"/>
      <c r="H99" s="6"/>
    </row>
    <row r="100" customFormat="false" ht="18" hidden="false" customHeight="true" outlineLevel="0" collapsed="false">
      <c r="A100" s="14"/>
      <c r="B100" s="14"/>
      <c r="C100" s="14"/>
      <c r="D100" s="14"/>
      <c r="E100" s="14"/>
      <c r="F100" s="14"/>
      <c r="G100" s="14"/>
      <c r="H100" s="14"/>
    </row>
    <row r="101" customFormat="false" ht="18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</row>
    <row r="102" customFormat="false" ht="18" hidden="false" customHeight="true" outlineLevel="0" collapsed="false">
      <c r="A102" s="14"/>
      <c r="B102" s="14"/>
      <c r="C102" s="14"/>
      <c r="D102" s="14"/>
      <c r="E102" s="14"/>
      <c r="F102" s="14"/>
      <c r="G102" s="14"/>
      <c r="H102" s="14"/>
    </row>
    <row r="103" customFormat="false" ht="18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</row>
    <row r="104" customFormat="false" ht="18" hidden="false" customHeight="true" outlineLevel="0" collapsed="false">
      <c r="A104" s="14"/>
      <c r="B104" s="14"/>
      <c r="C104" s="14"/>
      <c r="D104" s="14"/>
      <c r="E104" s="14"/>
      <c r="F104" s="14"/>
      <c r="G104" s="14"/>
      <c r="H104" s="14"/>
    </row>
    <row r="105" customFormat="false" ht="18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</row>
    <row r="106" customFormat="false" ht="18" hidden="false" customHeight="true" outlineLevel="0" collapsed="false">
      <c r="A106" s="14"/>
      <c r="B106" s="14"/>
      <c r="C106" s="14"/>
      <c r="D106" s="14"/>
      <c r="E106" s="14"/>
      <c r="F106" s="14"/>
      <c r="G106" s="14"/>
      <c r="H106" s="14"/>
    </row>
    <row r="107" customFormat="false" ht="18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</row>
    <row r="108" customFormat="false" ht="18" hidden="false" customHeight="true" outlineLevel="0" collapsed="false">
      <c r="A108" s="14"/>
      <c r="B108" s="14"/>
      <c r="C108" s="14"/>
      <c r="D108" s="14"/>
      <c r="E108" s="14"/>
      <c r="F108" s="14"/>
      <c r="G108" s="14"/>
      <c r="H108" s="14"/>
    </row>
  </sheetData>
  <mergeCells count="3">
    <mergeCell ref="A1:H1"/>
    <mergeCell ref="A2:H2"/>
    <mergeCell ref="A3:H3"/>
  </mergeCells>
  <dataValidations count="2">
    <dataValidation allowBlank="true" errorStyle="stop" operator="between" showDropDown="false" showErrorMessage="false" showInputMessage="false" sqref="E9:E108" type="list">
      <formula1>"Admin,BranchManager,Member"</formula1>
      <formula2>0</formula2>
    </dataValidation>
    <dataValidation allowBlank="true" errorStyle="stop" operator="between" showDropDown="false" showErrorMessage="false" showInputMessage="false" sqref="H9:H108" type="list">
      <formula1>"Active,Inactive,Locked"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C"/>
    <pageSetUpPr fitToPage="false"/>
  </sheetPr>
  <dimension ref="A1:M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6"/>
    <col collapsed="false" customWidth="true" hidden="false" outlineLevel="0" max="11" min="11" style="1" width="18"/>
    <col collapsed="false" customWidth="true" hidden="false" outlineLevel="0" max="12" min="12" style="1" width="32"/>
    <col collapsed="false" customWidth="true" hidden="false" outlineLevel="0" max="13" min="13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.75" hidden="false" customHeight="true" outlineLevel="0" collapsed="false">
      <c r="A2" s="3" t="s">
        <v>123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.75" hidden="false" customHeight="true" outlineLevel="0" collapsed="false">
      <c r="A3" s="4" t="s">
        <v>124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25.5" hidden="false" customHeight="true" outlineLevel="0" collapsed="false">
      <c r="A4" s="15" t="s">
        <v>125</v>
      </c>
      <c r="B4" s="15" t="s">
        <v>126</v>
      </c>
      <c r="C4" s="15" t="s">
        <v>104</v>
      </c>
      <c r="D4" s="15" t="s">
        <v>43</v>
      </c>
      <c r="E4" s="15" t="s">
        <v>127</v>
      </c>
      <c r="F4" s="15" t="s">
        <v>128</v>
      </c>
      <c r="G4" s="15" t="s">
        <v>129</v>
      </c>
      <c r="H4" s="15" t="s">
        <v>130</v>
      </c>
      <c r="I4" s="15" t="s">
        <v>131</v>
      </c>
      <c r="J4" s="15" t="s">
        <v>132</v>
      </c>
      <c r="K4" s="15" t="s">
        <v>133</v>
      </c>
      <c r="L4" s="15" t="s">
        <v>134</v>
      </c>
      <c r="M4" s="15" t="s">
        <v>135</v>
      </c>
    </row>
    <row r="5" customFormat="false" ht="18" hidden="false" customHeight="true" outlineLevel="0" collapsed="false">
      <c r="A5" s="12" t="s">
        <v>136</v>
      </c>
      <c r="B5" s="12" t="s">
        <v>137</v>
      </c>
      <c r="C5" s="12" t="s">
        <v>66</v>
      </c>
      <c r="D5" s="12" t="s">
        <v>49</v>
      </c>
      <c r="E5" s="12" t="s">
        <v>138</v>
      </c>
      <c r="F5" s="12" t="s">
        <v>139</v>
      </c>
      <c r="G5" s="12" t="n">
        <v>244</v>
      </c>
      <c r="H5" s="12" t="n">
        <v>244</v>
      </c>
      <c r="I5" s="12" t="s">
        <v>140</v>
      </c>
      <c r="J5" s="12" t="s">
        <v>141</v>
      </c>
      <c r="K5" s="12" t="s">
        <v>110</v>
      </c>
      <c r="L5" s="12" t="s">
        <v>142</v>
      </c>
      <c r="M5" s="12" t="s">
        <v>82</v>
      </c>
    </row>
    <row r="6" customFormat="false" ht="18" hidden="false" customHeight="true" outlineLevel="0" collapsed="false">
      <c r="A6" s="12" t="s">
        <v>143</v>
      </c>
      <c r="B6" s="12" t="s">
        <v>137</v>
      </c>
      <c r="C6" s="12" t="s">
        <v>66</v>
      </c>
      <c r="D6" s="12" t="s">
        <v>49</v>
      </c>
      <c r="E6" s="12" t="s">
        <v>144</v>
      </c>
      <c r="F6" s="12" t="s">
        <v>139</v>
      </c>
      <c r="G6" s="12" t="n">
        <v>1200</v>
      </c>
      <c r="H6" s="12" t="n">
        <v>1200</v>
      </c>
      <c r="I6" s="12" t="s">
        <v>145</v>
      </c>
      <c r="J6" s="12" t="s">
        <v>144</v>
      </c>
      <c r="K6" s="12" t="s">
        <v>146</v>
      </c>
      <c r="L6" s="12" t="s">
        <v>147</v>
      </c>
      <c r="M6" s="12" t="s">
        <v>82</v>
      </c>
    </row>
    <row r="7" customFormat="false" ht="18" hidden="false" customHeight="true" outlineLevel="0" collapsed="false">
      <c r="A7" s="16" t="s">
        <v>146</v>
      </c>
      <c r="B7" s="16" t="s">
        <v>137</v>
      </c>
      <c r="C7" s="16" t="s">
        <v>66</v>
      </c>
      <c r="D7" s="16" t="s">
        <v>49</v>
      </c>
      <c r="E7" s="16" t="s">
        <v>148</v>
      </c>
      <c r="F7" s="16" t="s">
        <v>149</v>
      </c>
      <c r="G7" s="16" t="n">
        <v>800</v>
      </c>
      <c r="H7" s="16" t="n">
        <v>800</v>
      </c>
      <c r="I7" s="16" t="s">
        <v>145</v>
      </c>
      <c r="J7" s="16" t="s">
        <v>150</v>
      </c>
      <c r="K7" s="16" t="s">
        <v>143</v>
      </c>
      <c r="L7" s="16" t="s">
        <v>151</v>
      </c>
      <c r="M7" s="16" t="s">
        <v>82</v>
      </c>
    </row>
    <row r="8" customFormat="false" ht="18" hidden="false" customHeight="true" outlineLevel="0" collapsed="false">
      <c r="A8" s="12" t="s">
        <v>152</v>
      </c>
      <c r="B8" s="12" t="s">
        <v>153</v>
      </c>
      <c r="C8" s="12" t="s">
        <v>84</v>
      </c>
      <c r="D8" s="12" t="s">
        <v>49</v>
      </c>
      <c r="E8" s="12" t="s">
        <v>144</v>
      </c>
      <c r="F8" s="12" t="s">
        <v>139</v>
      </c>
      <c r="G8" s="12" t="n">
        <v>2000</v>
      </c>
      <c r="H8" s="12" t="n">
        <v>3200</v>
      </c>
      <c r="I8" s="12" t="s">
        <v>140</v>
      </c>
      <c r="J8" s="12" t="s">
        <v>141</v>
      </c>
      <c r="K8" s="12" t="s">
        <v>110</v>
      </c>
      <c r="L8" s="12" t="s">
        <v>154</v>
      </c>
      <c r="M8" s="12" t="s">
        <v>82</v>
      </c>
    </row>
    <row r="9" customFormat="false" ht="18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customFormat="false" ht="18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customFormat="false" ht="18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customFormat="false" ht="18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customFormat="false" ht="18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customFormat="false" ht="18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customFormat="false" ht="18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customFormat="false" ht="18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customFormat="false" ht="18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customFormat="false" ht="18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customFormat="false" ht="18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customFormat="false" ht="18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customFormat="false" ht="18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customFormat="false" ht="18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customFormat="false" ht="18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customFormat="false" ht="18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customFormat="false" ht="18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customFormat="false" ht="18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customFormat="false" ht="18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customFormat="false" ht="18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customFormat="false" ht="18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customFormat="false" ht="18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customFormat="false" ht="18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customFormat="false" ht="18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customFormat="false" ht="18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customFormat="false" ht="18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customFormat="false" ht="18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customFormat="false" ht="18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customFormat="false" ht="18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customFormat="false" ht="18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customFormat="false" ht="18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customFormat="false" ht="18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customFormat="false" ht="18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customFormat="false" ht="18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customFormat="false" ht="18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customFormat="false" ht="18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customFormat="false" ht="18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customFormat="false" ht="18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customFormat="false" ht="18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customFormat="false" ht="18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customFormat="false" ht="18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customFormat="false" ht="18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customFormat="false" ht="18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customFormat="false" ht="18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customFormat="false" ht="18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customFormat="false" ht="18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customFormat="false" ht="18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customFormat="false" ht="18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customFormat="false" ht="18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customFormat="false" ht="18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customFormat="false" ht="18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customFormat="false" ht="18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customFormat="false" ht="18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customFormat="false" ht="18" hidden="false" customHeight="tru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customFormat="false" ht="18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customFormat="false" ht="18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customFormat="false" ht="18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customFormat="false" ht="18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customFormat="false" ht="18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customFormat="false" ht="18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customFormat="false" ht="18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customFormat="false" ht="18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customFormat="false" ht="18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customFormat="false" ht="18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customFormat="false" ht="18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customFormat="false" ht="18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customFormat="false" ht="18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customFormat="false" ht="18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customFormat="false" ht="18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customFormat="false" ht="18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customFormat="false" ht="18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customFormat="false" ht="18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customFormat="false" ht="18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customFormat="false" ht="18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customFormat="false" ht="18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customFormat="false" ht="18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customFormat="false" ht="18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customFormat="false" ht="18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customFormat="false" ht="18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customFormat="false" ht="18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customFormat="false" ht="18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customFormat="false" ht="18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customFormat="false" ht="18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customFormat="false" ht="18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customFormat="false" ht="18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customFormat="false" ht="18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customFormat="false" ht="18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customFormat="false" ht="18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customFormat="false" ht="18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customFormat="false" ht="18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customFormat="false" ht="18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customFormat="false" ht="18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customFormat="false" ht="18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customFormat="false" ht="18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customFormat="false" ht="18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customFormat="false" ht="18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customFormat="false" ht="18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customFormat="false" ht="18" hidden="false" customHeight="tru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customFormat="false" ht="18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customFormat="false" ht="18" hidden="false" customHeight="tru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customFormat="false" ht="18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customFormat="false" ht="18" hidden="false" customHeight="tru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customFormat="false" ht="18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customFormat="false" ht="18" hidden="false" customHeight="tru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customFormat="false" ht="18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customFormat="false" ht="18" hidden="false" customHeight="tru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customFormat="false" ht="18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customFormat="false" ht="18" hidden="false" customHeight="tru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customFormat="false" ht="18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customFormat="false" ht="18" hidden="false" customHeight="tru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customFormat="false" ht="18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customFormat="false" ht="18" hidden="false" customHeight="tru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</row>
    <row r="121" customFormat="false" ht="18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customFormat="false" ht="18" hidden="false" customHeight="tru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</row>
    <row r="123" customFormat="false" ht="18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customFormat="false" ht="18" hidden="false" customHeight="tru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</row>
    <row r="125" customFormat="false" ht="18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customFormat="false" ht="18" hidden="false" customHeight="tru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</row>
    <row r="127" customFormat="false" ht="18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customFormat="false" ht="18" hidden="false" customHeight="tru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</row>
    <row r="129" customFormat="false" ht="18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customFormat="false" ht="18" hidden="false" customHeight="tru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 customFormat="false" ht="18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customFormat="false" ht="18" hidden="false" customHeight="tru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 customFormat="false" ht="18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customFormat="false" ht="18" hidden="false" customHeight="tru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 customFormat="false" ht="18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customFormat="false" ht="18" hidden="false" customHeight="tru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 customFormat="false" ht="18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customFormat="false" ht="18" hidden="false" customHeight="tru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  <row r="139" customFormat="false" ht="18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customFormat="false" ht="18" hidden="false" customHeight="tru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</row>
    <row r="141" customFormat="false" ht="18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customFormat="false" ht="18" hidden="false" customHeight="tru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</row>
    <row r="143" customFormat="false" ht="18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customFormat="false" ht="18" hidden="false" customHeight="tru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</row>
    <row r="145" customFormat="false" ht="18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customFormat="false" ht="18" hidden="false" customHeight="tru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</row>
    <row r="147" customFormat="false" ht="18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customFormat="false" ht="18" hidden="false" customHeight="tru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 customFormat="false" ht="18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customFormat="false" ht="18" hidden="false" customHeight="tru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</row>
    <row r="151" customFormat="false" ht="18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customFormat="false" ht="18" hidden="false" customHeight="tru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</row>
    <row r="153" customFormat="false" ht="18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customFormat="false" ht="18" hidden="false" customHeight="tru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</row>
    <row r="155" customFormat="false" ht="18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customFormat="false" ht="18" hidden="false" customHeight="tru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</row>
    <row r="157" customFormat="false" ht="18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customFormat="false" ht="18" hidden="false" customHeight="tru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</row>
    <row r="159" customFormat="false" ht="18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customFormat="false" ht="18" hidden="false" customHeight="tru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 customFormat="false" ht="18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customFormat="false" ht="18" hidden="false" customHeight="tru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</row>
    <row r="163" customFormat="false" ht="18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customFormat="false" ht="18" hidden="false" customHeight="tru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</row>
    <row r="165" customFormat="false" ht="18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customFormat="false" ht="18" hidden="false" customHeight="tru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 customFormat="false" ht="18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customFormat="false" ht="18" hidden="false" customHeight="tru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</row>
    <row r="169" customFormat="false" ht="18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customFormat="false" ht="18" hidden="false" customHeight="tru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</row>
    <row r="171" customFormat="false" ht="18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customFormat="false" ht="18" hidden="false" customHeight="tru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 customFormat="false" ht="18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customFormat="false" ht="18" hidden="false" customHeight="tru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</row>
    <row r="175" customFormat="false" ht="18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customFormat="false" ht="18" hidden="false" customHeight="tru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</row>
    <row r="177" customFormat="false" ht="18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customFormat="false" ht="18" hidden="false" customHeight="tru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 customFormat="false" ht="18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customFormat="false" ht="18" hidden="false" customHeight="tru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</row>
    <row r="181" customFormat="false" ht="18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customFormat="false" ht="18" hidden="false" customHeight="tru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 customFormat="false" ht="18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customFormat="false" ht="18" hidden="false" customHeight="tru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 customFormat="false" ht="18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customFormat="false" ht="18" hidden="false" customHeight="tru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 customFormat="false" ht="18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customFormat="false" ht="18" hidden="false" customHeight="tru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 customFormat="false" ht="18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customFormat="false" ht="18" hidden="false" customHeight="tru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</row>
    <row r="191" customFormat="false" ht="18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customFormat="false" ht="18" hidden="false" customHeight="tru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</row>
    <row r="193" customFormat="false" ht="18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customFormat="false" ht="18" hidden="false" customHeight="tru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</row>
    <row r="195" customFormat="false" ht="18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customFormat="false" ht="18" hidden="false" customHeight="tru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</row>
    <row r="197" customFormat="false" ht="18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customFormat="false" ht="18" hidden="false" customHeight="tru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</row>
    <row r="199" customFormat="false" ht="18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customFormat="false" ht="18" hidden="false" customHeight="tru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</row>
    <row r="201" customFormat="false" ht="18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 customFormat="false" ht="18" hidden="false" customHeight="tru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</row>
    <row r="203" customFormat="false" ht="18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 customFormat="false" ht="18" hidden="false" customHeight="tru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</row>
    <row r="205" customFormat="false" ht="18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 customFormat="false" ht="18" hidden="false" customHeight="tru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</row>
    <row r="207" customFormat="false" ht="18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customFormat="false" ht="18" hidden="false" customHeight="tru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</row>
    <row r="209" customFormat="false" ht="18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customFormat="false" ht="18" hidden="false" customHeight="tru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</row>
    <row r="211" customFormat="false" ht="18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customFormat="false" ht="18" hidden="false" customHeight="tru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</row>
    <row r="213" customFormat="false" ht="18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 customFormat="false" ht="18" hidden="false" customHeight="tru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</row>
    <row r="215" customFormat="false" ht="18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 customFormat="false" ht="18" hidden="false" customHeight="tru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</row>
    <row r="217" customFormat="false" ht="18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customFormat="false" ht="18" hidden="false" customHeight="tru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</row>
    <row r="219" customFormat="false" ht="18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 customFormat="false" ht="18" hidden="false" customHeight="tru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</row>
    <row r="221" customFormat="false" ht="18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customFormat="false" ht="18" hidden="false" customHeight="tru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 customFormat="false" ht="18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customFormat="false" ht="18" hidden="false" customHeight="tru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 customFormat="false" ht="18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 customFormat="false" ht="18" hidden="false" customHeight="tru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 customFormat="false" ht="18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 customFormat="false" ht="18" hidden="false" customHeight="tru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 customFormat="false" ht="18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 customFormat="false" ht="18" hidden="false" customHeight="tru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 customFormat="false" ht="18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 customFormat="false" ht="18" hidden="false" customHeight="tru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 customFormat="false" ht="18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 customFormat="false" ht="18" hidden="false" customHeight="tru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 customFormat="false" ht="18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customFormat="false" ht="18" hidden="false" customHeight="tru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 customFormat="false" ht="18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customFormat="false" ht="18" hidden="false" customHeight="tru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 customFormat="false" ht="18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 customFormat="false" ht="18" hidden="false" customHeight="tru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 customFormat="false" ht="18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 customFormat="false" ht="18" hidden="false" customHeight="tru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 customFormat="false" ht="18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customFormat="false" ht="18" hidden="false" customHeight="tru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 customFormat="false" ht="18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 customFormat="false" ht="18" hidden="false" customHeight="tru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 customFormat="false" ht="18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 customFormat="false" ht="18" hidden="false" customHeight="tru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 customFormat="false" ht="18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 customFormat="false" ht="18" hidden="false" customHeight="tru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 customFormat="false" ht="18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 customFormat="false" ht="18" hidden="false" customHeight="tru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customFormat="false" ht="18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 customFormat="false" ht="18" hidden="false" customHeight="tru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 customFormat="false" ht="18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 customFormat="false" ht="18" hidden="false" customHeight="tru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 customFormat="false" ht="18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 customFormat="false" ht="18" hidden="false" customHeight="tru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 customFormat="false" ht="18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 customFormat="false" ht="18" hidden="false" customHeight="tru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 customFormat="false" ht="18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 customFormat="false" ht="18" hidden="false" customHeight="tru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 customFormat="false" ht="18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 customFormat="false" ht="18" hidden="false" customHeight="true" outlineLevel="0" collapsed="false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 customFormat="false" ht="18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 customFormat="false" ht="18" hidden="false" customHeight="tru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 customFormat="false" ht="18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 customFormat="false" ht="18" hidden="false" customHeight="true" outlineLevel="0" collapsed="false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 customFormat="false" ht="18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customFormat="false" ht="18" hidden="false" customHeight="true" outlineLevel="0" collapsed="false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 customFormat="false" ht="18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 customFormat="false" ht="18" hidden="false" customHeight="true" outlineLevel="0" collapsed="false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 customFormat="false" ht="18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customFormat="false" ht="18" hidden="false" customHeight="true" outlineLevel="0" collapsed="false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 customFormat="false" ht="18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 customFormat="false" ht="18" hidden="false" customHeight="tru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 customFormat="false" ht="18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 customFormat="false" ht="18" hidden="false" customHeight="true" outlineLevel="0" collapsed="false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 customFormat="false" ht="18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 customFormat="false" ht="18" hidden="false" customHeight="tru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 customFormat="false" ht="18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 customFormat="false" ht="18" hidden="false" customHeight="true" outlineLevel="0" collapsed="false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 customFormat="false" ht="18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customFormat="false" ht="18" hidden="false" customHeight="tru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 customFormat="false" ht="18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 customFormat="false" ht="18" hidden="false" customHeight="tru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 customFormat="false" ht="18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 customFormat="false" ht="18" hidden="false" customHeight="tru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 customFormat="false" ht="18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 customFormat="false" ht="18" hidden="false" customHeight="tru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 customFormat="false" ht="18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 customFormat="false" ht="18" hidden="false" customHeight="tru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 customFormat="false" ht="18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 customFormat="false" ht="18" hidden="false" customHeight="tru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 customFormat="false" ht="18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 customFormat="false" ht="18" hidden="false" customHeight="tru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 customFormat="false" ht="18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 customFormat="false" ht="18" hidden="false" customHeight="true" outlineLevel="0" collapsed="false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 customFormat="false" ht="18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 customFormat="false" ht="18" hidden="false" customHeight="tru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 customFormat="false" ht="18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 customFormat="false" ht="18" hidden="false" customHeight="true" outlineLevel="0" collapsed="false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 customFormat="false" ht="18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 customFormat="false" ht="18" hidden="false" customHeight="true" outlineLevel="0" collapsed="false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 customFormat="false" ht="18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</row>
    <row r="306" customFormat="false" ht="18" hidden="false" customHeight="true" outlineLevel="0" collapsed="false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 customFormat="false" ht="18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 customFormat="false" ht="18" hidden="false" customHeight="true" outlineLevel="0" collapsed="false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 customFormat="false" ht="18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 customFormat="false" ht="18" hidden="false" customHeight="true" outlineLevel="0" collapsed="false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customFormat="false" ht="18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 customFormat="false" ht="18" hidden="false" customHeight="true" outlineLevel="0" collapsed="false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 customFormat="false" ht="18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 customFormat="false" ht="18" hidden="false" customHeight="true" outlineLevel="0" collapsed="false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 customFormat="false" ht="18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 customFormat="false" ht="18" hidden="false" customHeight="true" outlineLevel="0" collapsed="false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 customFormat="false" ht="18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 customFormat="false" ht="18" hidden="false" customHeight="true" outlineLevel="0" collapsed="false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 customFormat="false" ht="18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 customFormat="false" ht="18" hidden="false" customHeight="true" outlineLevel="0" collapsed="false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 customFormat="false" ht="18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 customFormat="false" ht="18" hidden="false" customHeight="true" outlineLevel="0" collapsed="false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 customFormat="false" ht="18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 customFormat="false" ht="18" hidden="false" customHeight="true" outlineLevel="0" collapsed="false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 customFormat="false" ht="18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 customFormat="false" ht="18" hidden="false" customHeight="true" outlineLevel="0" collapsed="false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 customFormat="false" ht="18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 customFormat="false" ht="18" hidden="false" customHeight="true" outlineLevel="0" collapsed="false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 customFormat="false" ht="18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 customFormat="false" ht="18" hidden="false" customHeight="true" outlineLevel="0" collapsed="false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 customFormat="false" ht="18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 customFormat="false" ht="18" hidden="false" customHeight="true" outlineLevel="0" collapsed="false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 customFormat="false" ht="18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 customFormat="false" ht="18" hidden="false" customHeight="true" outlineLevel="0" collapsed="false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 customFormat="false" ht="18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 customFormat="false" ht="18" hidden="false" customHeight="true" outlineLevel="0" collapsed="false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 customFormat="false" ht="18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 customFormat="false" ht="18" hidden="false" customHeight="true" outlineLevel="0" collapsed="false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 customFormat="false" ht="18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 customFormat="false" ht="18" hidden="false" customHeight="true" outlineLevel="0" collapsed="false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 customFormat="false" ht="18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 customFormat="false" ht="18" hidden="false" customHeight="true" outlineLevel="0" collapsed="false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 customFormat="false" ht="18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 customFormat="false" ht="18" hidden="false" customHeight="true" outlineLevel="0" collapsed="false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 customFormat="false" ht="18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 customFormat="false" ht="18" hidden="false" customHeight="true" outlineLevel="0" collapsed="false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 customFormat="false" ht="18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 customFormat="false" ht="18" hidden="false" customHeight="true" outlineLevel="0" collapsed="false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 customFormat="false" ht="18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 customFormat="false" ht="18" hidden="false" customHeight="true" outlineLevel="0" collapsed="false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 customFormat="false" ht="18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 customFormat="false" ht="18" hidden="false" customHeight="true" outlineLevel="0" collapsed="false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 customFormat="false" ht="18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 customFormat="false" ht="18" hidden="false" customHeight="true" outlineLevel="0" collapsed="false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 customFormat="false" ht="18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 customFormat="false" ht="18" hidden="false" customHeight="true" outlineLevel="0" collapsed="false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 customFormat="false" ht="18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 customFormat="false" ht="18" hidden="false" customHeight="true" outlineLevel="0" collapsed="false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 customFormat="false" ht="18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 customFormat="false" ht="18" hidden="false" customHeight="true" outlineLevel="0" collapsed="false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 customFormat="false" ht="18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 customFormat="false" ht="18" hidden="false" customHeight="true" outlineLevel="0" collapsed="false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 customFormat="false" ht="18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 customFormat="false" ht="18" hidden="false" customHeight="true" outlineLevel="0" collapsed="false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 customFormat="false" ht="18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 customFormat="false" ht="18" hidden="false" customHeight="true" outlineLevel="0" collapsed="false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 customFormat="false" ht="18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 customFormat="false" ht="18" hidden="false" customHeight="true" outlineLevel="0" collapsed="false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 customFormat="false" ht="18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 customFormat="false" ht="18" hidden="false" customHeight="true" outlineLevel="0" collapsed="false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 customFormat="false" ht="18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 customFormat="false" ht="18" hidden="false" customHeight="true" outlineLevel="0" collapsed="false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 customFormat="false" ht="18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 customFormat="false" ht="18" hidden="false" customHeight="true" outlineLevel="0" collapsed="false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 customFormat="false" ht="18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 customFormat="false" ht="18" hidden="false" customHeight="true" outlineLevel="0" collapsed="false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 customFormat="false" ht="18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 customFormat="false" ht="18" hidden="false" customHeight="true" outlineLevel="0" collapsed="false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 customFormat="false" ht="18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 customFormat="false" ht="18" hidden="false" customHeight="true" outlineLevel="0" collapsed="false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 customFormat="false" ht="18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 customFormat="false" ht="18" hidden="false" customHeight="true" outlineLevel="0" collapsed="false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 customFormat="false" ht="18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 customFormat="false" ht="18" hidden="false" customHeight="true" outlineLevel="0" collapsed="false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 customFormat="false" ht="18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 customFormat="false" ht="18" hidden="false" customHeight="true" outlineLevel="0" collapsed="false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 customFormat="false" ht="18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 customFormat="false" ht="18" hidden="false" customHeight="true" outlineLevel="0" collapsed="false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 customFormat="false" ht="18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 customFormat="false" ht="18" hidden="false" customHeight="true" outlineLevel="0" collapsed="false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 customFormat="false" ht="18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 customFormat="false" ht="18" hidden="false" customHeight="true" outlineLevel="0" collapsed="false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 customFormat="false" ht="18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 customFormat="false" ht="18" hidden="false" customHeight="true" outlineLevel="0" collapsed="false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 customFormat="false" ht="18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 customFormat="false" ht="18" hidden="false" customHeight="true" outlineLevel="0" collapsed="false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 customFormat="false" ht="18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 customFormat="false" ht="18" hidden="false" customHeight="true" outlineLevel="0" collapsed="false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 customFormat="false" ht="18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 customFormat="false" ht="18" hidden="false" customHeight="true" outlineLevel="0" collapsed="false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 customFormat="false" ht="18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 customFormat="false" ht="18" hidden="false" customHeight="true" outlineLevel="0" collapsed="false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 customFormat="false" ht="18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 customFormat="false" ht="18" hidden="false" customHeight="true" outlineLevel="0" collapsed="false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 customFormat="false" ht="18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 customFormat="false" ht="18" hidden="false" customHeight="true" outlineLevel="0" collapsed="false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 customFormat="false" ht="18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 customFormat="false" ht="18" hidden="false" customHeight="true" outlineLevel="0" collapsed="false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 customFormat="false" ht="18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 customFormat="false" ht="18" hidden="false" customHeight="true" outlineLevel="0" collapsed="false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 customFormat="false" ht="18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 customFormat="false" ht="18" hidden="false" customHeight="true" outlineLevel="0" collapsed="false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 customFormat="false" ht="18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 customFormat="false" ht="18" hidden="false" customHeight="true" outlineLevel="0" collapsed="false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 customFormat="false" ht="18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 customFormat="false" ht="18" hidden="false" customHeight="true" outlineLevel="0" collapsed="false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 customFormat="false" ht="18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 customFormat="false" ht="18" hidden="false" customHeight="true" outlineLevel="0" collapsed="false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 customFormat="false" ht="18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 customFormat="false" ht="18" hidden="false" customHeight="true" outlineLevel="0" collapsed="false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 customFormat="false" ht="18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 customFormat="false" ht="18" hidden="false" customHeight="true" outlineLevel="0" collapsed="false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 customFormat="false" ht="18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 customFormat="false" ht="18" hidden="false" customHeight="true" outlineLevel="0" collapsed="false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 customFormat="false" ht="18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 customFormat="false" ht="18" hidden="false" customHeight="true" outlineLevel="0" collapsed="false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 customFormat="false" ht="18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 customFormat="false" ht="18" hidden="false" customHeight="true" outlineLevel="0" collapsed="false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 customFormat="false" ht="18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 customFormat="false" ht="18" hidden="false" customHeight="true" outlineLevel="0" collapsed="false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 customFormat="false" ht="18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 customFormat="false" ht="18" hidden="false" customHeight="true" outlineLevel="0" collapsed="false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 customFormat="false" ht="18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 customFormat="false" ht="18" hidden="false" customHeight="true" outlineLevel="0" collapsed="false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 customFormat="false" ht="18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 customFormat="false" ht="18" hidden="false" customHeight="true" outlineLevel="0" collapsed="false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 customFormat="false" ht="18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 customFormat="false" ht="18" hidden="false" customHeight="true" outlineLevel="0" collapsed="false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 customFormat="false" ht="18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 customFormat="false" ht="18" hidden="false" customHeight="true" outlineLevel="0" collapsed="false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 customFormat="false" ht="18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 customFormat="false" ht="18" hidden="false" customHeight="true" outlineLevel="0" collapsed="false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 customFormat="false" ht="18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 customFormat="false" ht="18" hidden="false" customHeight="true" outlineLevel="0" collapsed="false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 customFormat="false" ht="18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 customFormat="false" ht="18" hidden="false" customHeight="true" outlineLevel="0" collapsed="false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 customFormat="false" ht="18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 customFormat="false" ht="18" hidden="false" customHeight="true" outlineLevel="0" collapsed="false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 customFormat="false" ht="18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 customFormat="false" ht="18" hidden="false" customHeight="true" outlineLevel="0" collapsed="false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 customFormat="false" ht="18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 customFormat="false" ht="18" hidden="false" customHeight="true" outlineLevel="0" collapsed="false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 customFormat="false" ht="18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 customFormat="false" ht="18" hidden="false" customHeight="true" outlineLevel="0" collapsed="false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 customFormat="false" ht="18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 customFormat="false" ht="18" hidden="false" customHeight="true" outlineLevel="0" collapsed="false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 customFormat="false" ht="18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 customFormat="false" ht="18" hidden="false" customHeight="true" outlineLevel="0" collapsed="false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 customFormat="false" ht="18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 customFormat="false" ht="18" hidden="false" customHeight="true" outlineLevel="0" collapsed="false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 customFormat="false" ht="18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 customFormat="false" ht="18" hidden="false" customHeight="true" outlineLevel="0" collapsed="false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 customFormat="false" ht="18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 customFormat="false" ht="18" hidden="false" customHeight="true" outlineLevel="0" collapsed="false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 customFormat="false" ht="18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 customFormat="false" ht="18" hidden="false" customHeight="true" outlineLevel="0" collapsed="false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 customFormat="false" ht="18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 customFormat="false" ht="18" hidden="false" customHeight="true" outlineLevel="0" collapsed="false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 customFormat="false" ht="18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 customFormat="false" ht="18" hidden="false" customHeight="true" outlineLevel="0" collapsed="false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 customFormat="false" ht="18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 customFormat="false" ht="18" hidden="false" customHeight="true" outlineLevel="0" collapsed="false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 customFormat="false" ht="18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 customFormat="false" ht="18" hidden="false" customHeight="true" outlineLevel="0" collapsed="false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 customFormat="false" ht="18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 customFormat="false" ht="18" hidden="false" customHeight="true" outlineLevel="0" collapsed="false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 customFormat="false" ht="18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 customFormat="false" ht="18" hidden="false" customHeight="true" outlineLevel="0" collapsed="false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 customFormat="false" ht="18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 customFormat="false" ht="18" hidden="false" customHeight="true" outlineLevel="0" collapsed="false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 customFormat="false" ht="18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 customFormat="false" ht="18" hidden="false" customHeight="true" outlineLevel="0" collapsed="false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 customFormat="false" ht="18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 customFormat="false" ht="18" hidden="false" customHeight="true" outlineLevel="0" collapsed="false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 customFormat="false" ht="18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 customFormat="false" ht="18" hidden="false" customHeight="true" outlineLevel="0" collapsed="false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 customFormat="false" ht="18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 customFormat="false" ht="18" hidden="false" customHeight="true" outlineLevel="0" collapsed="false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 customFormat="false" ht="18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 customFormat="false" ht="18" hidden="false" customHeight="true" outlineLevel="0" collapsed="false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 customFormat="false" ht="18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 customFormat="false" ht="18" hidden="false" customHeight="true" outlineLevel="0" collapsed="false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 customFormat="false" ht="18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 customFormat="false" ht="18" hidden="false" customHeight="true" outlineLevel="0" collapsed="false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 customFormat="false" ht="18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 customFormat="false" ht="18" hidden="false" customHeight="true" outlineLevel="0" collapsed="false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 customFormat="false" ht="18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 customFormat="false" ht="18" hidden="false" customHeight="true" outlineLevel="0" collapsed="false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 customFormat="false" ht="18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 customFormat="false" ht="18" hidden="false" customHeight="true" outlineLevel="0" collapsed="false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 customFormat="false" ht="18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 customFormat="false" ht="18" hidden="false" customHeight="true" outlineLevel="0" collapsed="false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</row>
    <row r="503" customFormat="false" ht="18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 customFormat="false" ht="18" hidden="false" customHeight="true" outlineLevel="0" collapsed="false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</row>
    <row r="505" customFormat="false" ht="18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 customFormat="false" ht="18" hidden="false" customHeight="true" outlineLevel="0" collapsed="false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</row>
    <row r="507" customFormat="false" ht="18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 customFormat="false" ht="18" hidden="false" customHeight="true" outlineLevel="0" collapsed="false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</row>
  </sheetData>
  <mergeCells count="3">
    <mergeCell ref="A1:M1"/>
    <mergeCell ref="A2:M2"/>
    <mergeCell ref="A3:M3"/>
  </mergeCells>
  <dataValidations count="4">
    <dataValidation allowBlank="true" errorStyle="stop" operator="between" showDropDown="false" showErrorMessage="false" showInputMessage="false" sqref="E9:E508" type="list">
      <formula1>"Shares,Savings,Loan,Deposit,Commodity"</formula1>
      <formula2>0</formula2>
    </dataValidation>
    <dataValidation allowBlank="true" errorStyle="stop" operator="between" showDropDown="false" showErrorMessage="false" showInputMessage="false" sqref="F9:F508" type="list">
      <formula1>"CR,DR"</formula1>
      <formula2>0</formula2>
    </dataValidation>
    <dataValidation allowBlank="true" errorStyle="stop" operator="between" showDropDown="false" showErrorMessage="false" showInputMessage="false" sqref="I9:I508" type="list">
      <formula1>"Yes,No"</formula1>
      <formula2>0</formula2>
    </dataValidation>
    <dataValidation allowBlank="true" errorStyle="stop" operator="between" showDropDown="false" showErrorMessage="false" showInputMessage="false" sqref="J9:J508" type="list">
      <formula1>"Full,Savings,LoanRepay,Override"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Q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9" min="4" style="1" width="16"/>
    <col collapsed="false" customWidth="true" hidden="false" outlineLevel="0" max="10" min="10" style="1" width="28"/>
    <col collapsed="false" customWidth="true" hidden="false" outlineLevel="0" max="12" min="11" style="1" width="18"/>
    <col collapsed="false" customWidth="true" hidden="false" outlineLevel="0" max="13" min="13" style="1" width="12"/>
    <col collapsed="false" customWidth="true" hidden="false" outlineLevel="0" max="14" min="14" style="1" width="16"/>
    <col collapsed="false" customWidth="true" hidden="false" outlineLevel="0" max="16" min="15" style="1" width="18"/>
    <col collapsed="false" customWidth="true" hidden="false" outlineLevel="0" max="17" min="17" style="1" width="3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.75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5.75" hidden="false" customHeight="true" outlineLevel="0" collapsed="false">
      <c r="A3" s="4" t="s">
        <v>156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25.5" hidden="false" customHeight="true" outlineLevel="0" collapsed="false">
      <c r="A4" s="5" t="s">
        <v>157</v>
      </c>
      <c r="B4" s="5" t="s">
        <v>104</v>
      </c>
      <c r="C4" s="5" t="s">
        <v>43</v>
      </c>
      <c r="D4" s="5" t="s">
        <v>158</v>
      </c>
      <c r="E4" s="5" t="s">
        <v>159</v>
      </c>
      <c r="F4" s="5" t="s">
        <v>160</v>
      </c>
      <c r="G4" s="5" t="s">
        <v>161</v>
      </c>
      <c r="H4" s="5" t="s">
        <v>162</v>
      </c>
      <c r="I4" s="5" t="s">
        <v>163</v>
      </c>
      <c r="J4" s="5" t="s">
        <v>164</v>
      </c>
      <c r="K4" s="5" t="s">
        <v>165</v>
      </c>
      <c r="L4" s="5" t="s">
        <v>166</v>
      </c>
      <c r="M4" s="5" t="s">
        <v>48</v>
      </c>
      <c r="N4" s="5" t="s">
        <v>167</v>
      </c>
      <c r="O4" s="5" t="s">
        <v>168</v>
      </c>
      <c r="P4" s="5" t="s">
        <v>169</v>
      </c>
      <c r="Q4" s="5" t="s">
        <v>170</v>
      </c>
    </row>
    <row r="5" customFormat="false" ht="18" hidden="false" customHeight="true" outlineLevel="0" collapsed="false">
      <c r="A5" s="12" t="s">
        <v>171</v>
      </c>
      <c r="B5" s="12" t="s">
        <v>66</v>
      </c>
      <c r="C5" s="12" t="s">
        <v>49</v>
      </c>
      <c r="D5" s="12" t="n">
        <v>50000</v>
      </c>
      <c r="E5" s="12" t="n">
        <f aca="false">SETTINGS!C5</f>
        <v>2000</v>
      </c>
      <c r="F5" s="12" t="n">
        <f aca="false">D5*E5/100</f>
        <v>1000000</v>
      </c>
      <c r="G5" s="12" t="n">
        <f aca="false">D5+F5</f>
        <v>1050000</v>
      </c>
      <c r="H5" s="12" t="n">
        <f aca="false">SUMPRODUCT((LOAN_REPAYMENTS!B$5:B$400="LN001")*LOAN_REPAYMENTS!F$5:F$400)</f>
        <v>30000</v>
      </c>
      <c r="I5" s="12" t="n">
        <f aca="false">G5-H5</f>
        <v>1020000</v>
      </c>
      <c r="J5" s="12" t="s">
        <v>172</v>
      </c>
      <c r="K5" s="12" t="n">
        <v>6</v>
      </c>
      <c r="L5" s="12" t="s">
        <v>173</v>
      </c>
      <c r="M5" s="12" t="s">
        <v>53</v>
      </c>
      <c r="N5" s="12" t="s">
        <v>82</v>
      </c>
      <c r="O5" s="12" t="s">
        <v>174</v>
      </c>
      <c r="P5" s="12" t="s">
        <v>175</v>
      </c>
      <c r="Q5" s="12" t="s">
        <v>176</v>
      </c>
    </row>
    <row r="6" customFormat="false" ht="18" hidden="false" customHeight="true" outlineLevel="0" collapsed="false">
      <c r="A6" s="8" t="s">
        <v>177</v>
      </c>
      <c r="B6" s="8" t="s">
        <v>84</v>
      </c>
      <c r="C6" s="8" t="s">
        <v>49</v>
      </c>
      <c r="D6" s="8" t="n">
        <v>100000</v>
      </c>
      <c r="E6" s="8" t="n">
        <f aca="false">SETTINGS!C5</f>
        <v>2000</v>
      </c>
      <c r="F6" s="8" t="n">
        <f aca="false">D6*E6/100</f>
        <v>2000000</v>
      </c>
      <c r="G6" s="8" t="n">
        <f aca="false">D6+F6</f>
        <v>2100000</v>
      </c>
      <c r="H6" s="8" t="n">
        <f aca="false">SUMPRODUCT((LOAN_REPAYMENTS!B$5:B$400="LN002")*LOAN_REPAYMENTS!F$5:F$400)</f>
        <v>0</v>
      </c>
      <c r="I6" s="8" t="n">
        <f aca="false">G6-H6</f>
        <v>2100000</v>
      </c>
      <c r="J6" s="8" t="s">
        <v>178</v>
      </c>
      <c r="K6" s="8" t="n">
        <v>12</v>
      </c>
      <c r="L6" s="8" t="s">
        <v>179</v>
      </c>
      <c r="M6" s="8" t="s">
        <v>180</v>
      </c>
      <c r="N6" s="8"/>
      <c r="O6" s="8"/>
      <c r="P6" s="8"/>
      <c r="Q6" s="8" t="s">
        <v>181</v>
      </c>
    </row>
    <row r="7" customFormat="false" ht="18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customFormat="false" ht="18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customFormat="false" ht="18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customFormat="false" ht="18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customFormat="false" ht="18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customFormat="false" ht="18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customFormat="false" ht="18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customFormat="false" ht="18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customFormat="false" ht="18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customFormat="false" ht="18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customFormat="false" ht="18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customFormat="false" ht="18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customFormat="false" ht="18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customFormat="false" ht="18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customFormat="false" ht="18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customFormat="false" ht="18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customFormat="false" ht="18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customFormat="false" ht="18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customFormat="false" ht="18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customFormat="false" ht="18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customFormat="false" ht="18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customFormat="false" ht="18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customFormat="false" ht="18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customFormat="false" ht="18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customFormat="false" ht="18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customFormat="false" ht="18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customFormat="false" ht="18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customFormat="false" ht="18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customFormat="false" ht="18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customFormat="false" ht="18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customFormat="false" ht="18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customFormat="false" ht="18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customFormat="false" ht="18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customFormat="false" ht="18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customFormat="false" ht="18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customFormat="false" ht="18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customFormat="false" ht="18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customFormat="false" ht="18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customFormat="false" ht="18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customFormat="false" ht="18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customFormat="false" ht="18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customFormat="false" ht="18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customFormat="false" ht="18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customFormat="false" ht="18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customFormat="false" ht="18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customFormat="false" ht="18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customFormat="false" ht="18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customFormat="false" ht="18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customFormat="false" ht="18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customFormat="false" ht="18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customFormat="false" ht="18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customFormat="false" ht="18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customFormat="false" ht="18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customFormat="false" ht="18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customFormat="false" ht="18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customFormat="false" ht="18" hidden="false" customHeight="tru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customFormat="false" ht="18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customFormat="false" ht="18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customFormat="false" ht="18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customFormat="false" ht="18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customFormat="false" ht="18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customFormat="false" ht="18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customFormat="false" ht="18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customFormat="false" ht="18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customFormat="false" ht="18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customFormat="false" ht="18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customFormat="false" ht="18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customFormat="false" ht="18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customFormat="false" ht="18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customFormat="false" ht="18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customFormat="false" ht="18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customFormat="false" ht="18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customFormat="false" ht="18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customFormat="false" ht="18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customFormat="false" ht="18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customFormat="false" ht="18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customFormat="false" ht="18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customFormat="false" ht="18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customFormat="false" ht="18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customFormat="false" ht="18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customFormat="false" ht="18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customFormat="false" ht="18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customFormat="false" ht="18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customFormat="false" ht="18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customFormat="false" ht="18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customFormat="false" ht="18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customFormat="false" ht="18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customFormat="false" ht="18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customFormat="false" ht="18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customFormat="false" ht="18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customFormat="false" ht="18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customFormat="false" ht="18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customFormat="false" ht="18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customFormat="false" ht="18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customFormat="false" ht="18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customFormat="false" ht="18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customFormat="false" ht="18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customFormat="false" ht="18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customFormat="false" ht="18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customFormat="false" ht="18" hidden="false" customHeight="tru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customFormat="false" ht="18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customFormat="false" ht="18" hidden="false" customHeight="tru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customFormat="false" ht="18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customFormat="false" ht="18" hidden="false" customHeight="tru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customFormat="false" ht="18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customFormat="false" ht="18" hidden="false" customHeight="tru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customFormat="false" ht="18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customFormat="false" ht="18" hidden="false" customHeight="tru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customFormat="false" ht="18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customFormat="false" ht="18" hidden="false" customHeight="tru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customFormat="false" ht="18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customFormat="false" ht="18" hidden="false" customHeight="tru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customFormat="false" ht="18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customFormat="false" ht="18" hidden="false" customHeight="tru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customFormat="false" ht="18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customFormat="false" ht="18" hidden="false" customHeight="tru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customFormat="false" ht="18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customFormat="false" ht="18" hidden="false" customHeight="tru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customFormat="false" ht="18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customFormat="false" ht="18" hidden="false" customHeight="tru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customFormat="false" ht="18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customFormat="false" ht="18" hidden="false" customHeight="tru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customFormat="false" ht="18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customFormat="false" ht="18" hidden="false" customHeight="tru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customFormat="false" ht="18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customFormat="false" ht="18" hidden="false" customHeight="tru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customFormat="false" ht="18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customFormat="false" ht="18" hidden="false" customHeight="tru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customFormat="false" ht="18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customFormat="false" ht="18" hidden="false" customHeight="tru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customFormat="false" ht="18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customFormat="false" ht="18" hidden="false" customHeight="tru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customFormat="false" ht="18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customFormat="false" ht="18" hidden="false" customHeight="tru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customFormat="false" ht="18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customFormat="false" ht="18" hidden="false" customHeight="tru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customFormat="false" ht="18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customFormat="false" ht="18" hidden="false" customHeight="tru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customFormat="false" ht="18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customFormat="false" ht="18" hidden="false" customHeight="tru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customFormat="false" ht="18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customFormat="false" ht="18" hidden="false" customHeight="tru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customFormat="false" ht="18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customFormat="false" ht="18" hidden="false" customHeight="tru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customFormat="false" ht="18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customFormat="false" ht="18" hidden="false" customHeight="tru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customFormat="false" ht="18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customFormat="false" ht="18" hidden="false" customHeight="tru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customFormat="false" ht="18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customFormat="false" ht="18" hidden="false" customHeight="tru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customFormat="false" ht="18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customFormat="false" ht="18" hidden="false" customHeight="tru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customFormat="false" ht="18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customFormat="false" ht="18" hidden="false" customHeight="tru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customFormat="false" ht="18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customFormat="false" ht="18" hidden="false" customHeight="tru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customFormat="false" ht="18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customFormat="false" ht="18" hidden="false" customHeight="tru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customFormat="false" ht="18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customFormat="false" ht="18" hidden="false" customHeight="tru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customFormat="false" ht="18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customFormat="false" ht="18" hidden="false" customHeight="tru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customFormat="false" ht="18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customFormat="false" ht="18" hidden="false" customHeight="tru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customFormat="false" ht="18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customFormat="false" ht="18" hidden="false" customHeight="tru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customFormat="false" ht="18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customFormat="false" ht="18" hidden="false" customHeight="tru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customFormat="false" ht="18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customFormat="false" ht="18" hidden="false" customHeight="tru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customFormat="false" ht="18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customFormat="false" ht="18" hidden="false" customHeight="tru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customFormat="false" ht="18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customFormat="false" ht="18" hidden="false" customHeight="tru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customFormat="false" ht="18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customFormat="false" ht="18" hidden="false" customHeight="tru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customFormat="false" ht="18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customFormat="false" ht="18" hidden="false" customHeight="tru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customFormat="false" ht="18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customFormat="false" ht="18" hidden="false" customHeight="tru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customFormat="false" ht="18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customFormat="false" ht="18" hidden="false" customHeight="tru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customFormat="false" ht="18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customFormat="false" ht="18" hidden="false" customHeight="tru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customFormat="false" ht="18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customFormat="false" ht="18" hidden="false" customHeight="tru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customFormat="false" ht="18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customFormat="false" ht="18" hidden="false" customHeight="tru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customFormat="false" ht="18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customFormat="false" ht="18" hidden="false" customHeight="tru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customFormat="false" ht="18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customFormat="false" ht="18" hidden="false" customHeight="tru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customFormat="false" ht="18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customFormat="false" ht="18" hidden="false" customHeight="tru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customFormat="false" ht="18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customFormat="false" ht="18" hidden="false" customHeight="tru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customFormat="false" ht="18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customFormat="false" ht="18" hidden="false" customHeight="tru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customFormat="false" ht="18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customFormat="false" ht="18" hidden="false" customHeight="tru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</sheetData>
  <mergeCells count="3">
    <mergeCell ref="A1:Q1"/>
    <mergeCell ref="A2:Q2"/>
    <mergeCell ref="A3:Q3"/>
  </mergeCells>
  <dataValidations count="1">
    <dataValidation allowBlank="true" errorStyle="stop" operator="between" showDropDown="false" showErrorMessage="false" showInputMessage="false" sqref="M7:M206" type="list">
      <formula1>"Pending,Approved,Rejected,Active,Closed"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2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32"/>
    <col collapsed="false" customWidth="true" hidden="false" outlineLevel="0" max="9" min="9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182</v>
      </c>
      <c r="B2" s="3"/>
      <c r="C2" s="3"/>
      <c r="D2" s="3"/>
      <c r="E2" s="3"/>
      <c r="F2" s="3"/>
      <c r="G2" s="3"/>
      <c r="H2" s="3"/>
      <c r="I2" s="3"/>
    </row>
    <row r="3" customFormat="false" ht="15.75" hidden="false" customHeight="true" outlineLevel="0" collapsed="false">
      <c r="A3" s="4" t="s">
        <v>183</v>
      </c>
      <c r="B3" s="4"/>
      <c r="C3" s="4"/>
      <c r="D3" s="4"/>
      <c r="E3" s="4"/>
      <c r="F3" s="4"/>
      <c r="G3" s="4"/>
      <c r="H3" s="4"/>
      <c r="I3" s="4"/>
    </row>
    <row r="4" customFormat="false" ht="25.5" hidden="false" customHeight="true" outlineLevel="0" collapsed="false">
      <c r="A4" s="17" t="s">
        <v>184</v>
      </c>
      <c r="B4" s="17" t="s">
        <v>157</v>
      </c>
      <c r="C4" s="17" t="s">
        <v>104</v>
      </c>
      <c r="D4" s="17" t="s">
        <v>43</v>
      </c>
      <c r="E4" s="17" t="s">
        <v>126</v>
      </c>
      <c r="F4" s="17" t="s">
        <v>185</v>
      </c>
      <c r="G4" s="17" t="s">
        <v>186</v>
      </c>
      <c r="H4" s="17" t="s">
        <v>134</v>
      </c>
      <c r="I4" s="17" t="s">
        <v>135</v>
      </c>
    </row>
    <row r="5" customFormat="false" ht="18" hidden="false" customHeight="true" outlineLevel="0" collapsed="false">
      <c r="A5" s="6" t="s">
        <v>187</v>
      </c>
      <c r="B5" s="6" t="s">
        <v>171</v>
      </c>
      <c r="C5" s="6" t="s">
        <v>66</v>
      </c>
      <c r="D5" s="6" t="s">
        <v>49</v>
      </c>
      <c r="E5" s="6" t="s">
        <v>188</v>
      </c>
      <c r="F5" s="6" t="n">
        <v>10000</v>
      </c>
      <c r="G5" s="6" t="n">
        <v>40000</v>
      </c>
      <c r="H5" s="6" t="s">
        <v>189</v>
      </c>
      <c r="I5" s="6" t="s">
        <v>82</v>
      </c>
    </row>
    <row r="6" customFormat="false" ht="18" hidden="false" customHeight="true" outlineLevel="0" collapsed="false">
      <c r="A6" s="12" t="s">
        <v>190</v>
      </c>
      <c r="B6" s="12" t="s">
        <v>171</v>
      </c>
      <c r="C6" s="12" t="s">
        <v>66</v>
      </c>
      <c r="D6" s="12" t="s">
        <v>49</v>
      </c>
      <c r="E6" s="12" t="s">
        <v>191</v>
      </c>
      <c r="F6" s="12" t="n">
        <v>10000</v>
      </c>
      <c r="G6" s="12" t="n">
        <v>30000</v>
      </c>
      <c r="H6" s="12" t="s">
        <v>192</v>
      </c>
      <c r="I6" s="12" t="s">
        <v>82</v>
      </c>
    </row>
    <row r="7" customFormat="false" ht="18" hidden="false" customHeight="true" outlineLevel="0" collapsed="false">
      <c r="A7" s="6" t="s">
        <v>193</v>
      </c>
      <c r="B7" s="6" t="s">
        <v>171</v>
      </c>
      <c r="C7" s="6" t="s">
        <v>66</v>
      </c>
      <c r="D7" s="6" t="s">
        <v>49</v>
      </c>
      <c r="E7" s="6" t="s">
        <v>194</v>
      </c>
      <c r="F7" s="6" t="n">
        <v>10000</v>
      </c>
      <c r="G7" s="6" t="n">
        <v>20000</v>
      </c>
      <c r="H7" s="6" t="s">
        <v>195</v>
      </c>
      <c r="I7" s="6" t="s">
        <v>82</v>
      </c>
    </row>
    <row r="8" customFormat="false" ht="18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</row>
    <row r="9" customFormat="false" ht="18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</row>
    <row r="10" customFormat="false" ht="18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</row>
    <row r="11" customFormat="false" ht="18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</row>
    <row r="12" customFormat="false" ht="18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</row>
    <row r="13" customFormat="false" ht="18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</row>
    <row r="14" customFormat="false" ht="18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</row>
    <row r="15" customFormat="false" ht="18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</row>
    <row r="16" customFormat="false" ht="18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</row>
    <row r="17" customFormat="false" ht="18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</row>
    <row r="18" customFormat="false" ht="18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</row>
    <row r="19" customFormat="false" ht="18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</row>
    <row r="20" customFormat="false" ht="18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</row>
    <row r="21" customFormat="false" ht="18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</row>
    <row r="22" customFormat="false" ht="18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</row>
    <row r="23" customFormat="false" ht="18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</row>
    <row r="24" customFormat="false" ht="18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</row>
    <row r="25" customFormat="false" ht="18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</row>
    <row r="26" customFormat="false" ht="18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</row>
    <row r="27" customFormat="false" ht="18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</row>
    <row r="28" customFormat="false" ht="18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</row>
    <row r="29" customFormat="false" ht="18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</row>
    <row r="30" customFormat="false" ht="18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</row>
    <row r="31" customFormat="false" ht="18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</row>
    <row r="32" customFormat="false" ht="18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</row>
    <row r="33" customFormat="false" ht="18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</row>
    <row r="34" customFormat="false" ht="18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</row>
    <row r="35" customFormat="false" ht="18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</row>
    <row r="36" customFormat="false" ht="18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</row>
    <row r="37" customFormat="false" ht="18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</row>
    <row r="38" customFormat="false" ht="18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</row>
    <row r="39" customFormat="false" ht="18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</row>
    <row r="40" customFormat="false" ht="18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</row>
    <row r="41" customFormat="false" ht="18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</row>
    <row r="42" customFormat="false" ht="18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</row>
    <row r="43" customFormat="false" ht="18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</row>
    <row r="44" customFormat="false" ht="18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</row>
    <row r="45" customFormat="false" ht="18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</row>
    <row r="46" customFormat="false" ht="18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</row>
    <row r="47" customFormat="false" ht="18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</row>
    <row r="48" customFormat="false" ht="18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</row>
    <row r="49" customFormat="false" ht="18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</row>
    <row r="50" customFormat="false" ht="18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</row>
    <row r="51" customFormat="false" ht="18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</row>
    <row r="52" customFormat="false" ht="18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</row>
    <row r="53" customFormat="false" ht="18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</row>
    <row r="54" customFormat="false" ht="18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</row>
    <row r="55" customFormat="false" ht="18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</row>
    <row r="56" customFormat="false" ht="18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</row>
    <row r="57" customFormat="false" ht="18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</row>
    <row r="58" customFormat="false" ht="18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</row>
    <row r="59" customFormat="false" ht="18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</row>
    <row r="60" customFormat="false" ht="18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1"/>
    </row>
    <row r="61" customFormat="false" ht="18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</row>
    <row r="62" customFormat="false" ht="18" hidden="false" customHeight="true" outlineLevel="0" collapsed="false">
      <c r="A62" s="11"/>
      <c r="B62" s="11"/>
      <c r="C62" s="11"/>
      <c r="D62" s="11"/>
      <c r="E62" s="11"/>
      <c r="F62" s="11"/>
      <c r="G62" s="11"/>
      <c r="H62" s="11"/>
      <c r="I62" s="11"/>
    </row>
    <row r="63" customFormat="false" ht="18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</row>
    <row r="64" customFormat="false" ht="18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1"/>
    </row>
    <row r="65" customFormat="false" ht="18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</row>
    <row r="66" customFormat="false" ht="18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</row>
    <row r="67" customFormat="false" ht="18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</row>
    <row r="68" customFormat="false" ht="18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</row>
    <row r="69" customFormat="false" ht="18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</row>
    <row r="70" customFormat="false" ht="18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</row>
    <row r="71" customFormat="false" ht="18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</row>
    <row r="72" customFormat="false" ht="18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1"/>
    </row>
    <row r="73" customFormat="false" ht="18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</row>
    <row r="74" customFormat="false" ht="18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1"/>
    </row>
    <row r="75" customFormat="false" ht="18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</row>
    <row r="76" customFormat="false" ht="18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1"/>
    </row>
    <row r="77" customFormat="false" ht="18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</row>
    <row r="78" customFormat="false" ht="18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1"/>
    </row>
    <row r="79" customFormat="false" ht="18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</row>
    <row r="80" customFormat="false" ht="18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</row>
    <row r="81" customFormat="false" ht="18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</row>
    <row r="82" customFormat="false" ht="18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</row>
    <row r="83" customFormat="false" ht="18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</row>
    <row r="84" customFormat="false" ht="18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</row>
    <row r="85" customFormat="false" ht="18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</row>
    <row r="86" customFormat="false" ht="18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</row>
    <row r="87" customFormat="false" ht="18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</row>
    <row r="88" customFormat="false" ht="18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1"/>
    </row>
    <row r="89" customFormat="false" ht="18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</row>
    <row r="90" customFormat="false" ht="18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</row>
    <row r="91" customFormat="false" ht="18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</row>
    <row r="92" customFormat="false" ht="18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1"/>
    </row>
    <row r="93" customFormat="false" ht="18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</row>
    <row r="94" customFormat="false" ht="18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1"/>
    </row>
    <row r="95" customFormat="false" ht="18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</row>
    <row r="96" customFormat="false" ht="18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</row>
    <row r="97" customFormat="false" ht="18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</row>
    <row r="98" customFormat="false" ht="18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</row>
    <row r="99" customFormat="false" ht="18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</row>
    <row r="100" customFormat="false" ht="18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</row>
    <row r="101" customFormat="false" ht="18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</row>
    <row r="102" customFormat="false" ht="18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</row>
    <row r="103" customFormat="false" ht="18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</row>
    <row r="104" customFormat="false" ht="18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</row>
    <row r="105" customFormat="false" ht="18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</row>
    <row r="106" customFormat="false" ht="18" hidden="false" customHeight="tru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</row>
    <row r="107" customFormat="false" ht="18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</row>
    <row r="108" customFormat="false" ht="18" hidden="false" customHeight="tru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</row>
    <row r="109" customFormat="false" ht="18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</row>
    <row r="110" customFormat="false" ht="18" hidden="false" customHeight="tru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</row>
    <row r="111" customFormat="false" ht="18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</row>
    <row r="112" customFormat="false" ht="18" hidden="false" customHeight="tru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</row>
    <row r="113" customFormat="false" ht="18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</row>
    <row r="114" customFormat="false" ht="18" hidden="false" customHeight="tru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</row>
    <row r="115" customFormat="false" ht="18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</row>
    <row r="116" customFormat="false" ht="18" hidden="false" customHeight="tru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</row>
    <row r="117" customFormat="false" ht="18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</row>
    <row r="118" customFormat="false" ht="18" hidden="false" customHeight="tru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</row>
    <row r="119" customFormat="false" ht="18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</row>
    <row r="120" customFormat="false" ht="18" hidden="false" customHeight="tru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</row>
    <row r="121" customFormat="false" ht="18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</row>
    <row r="122" customFormat="false" ht="18" hidden="false" customHeight="tru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</row>
    <row r="123" customFormat="false" ht="18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</row>
    <row r="124" customFormat="false" ht="18" hidden="false" customHeight="tru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</row>
    <row r="125" customFormat="false" ht="18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</row>
    <row r="126" customFormat="false" ht="18" hidden="false" customHeight="tru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</row>
    <row r="127" customFormat="false" ht="18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</row>
    <row r="128" customFormat="false" ht="18" hidden="false" customHeight="tru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</row>
    <row r="129" customFormat="false" ht="18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</row>
    <row r="130" customFormat="false" ht="18" hidden="false" customHeight="tru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</row>
    <row r="131" customFormat="false" ht="18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</row>
    <row r="132" customFormat="false" ht="18" hidden="false" customHeight="tru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</row>
    <row r="133" customFormat="false" ht="18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</row>
    <row r="134" customFormat="false" ht="18" hidden="false" customHeight="tru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</row>
    <row r="135" customFormat="false" ht="18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</row>
    <row r="136" customFormat="false" ht="18" hidden="false" customHeight="tru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</row>
    <row r="137" customFormat="false" ht="18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</row>
    <row r="138" customFormat="false" ht="18" hidden="false" customHeight="tru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</row>
    <row r="139" customFormat="false" ht="18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</row>
    <row r="140" customFormat="false" ht="18" hidden="false" customHeight="tru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</row>
    <row r="141" customFormat="false" ht="18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</row>
    <row r="142" customFormat="false" ht="18" hidden="false" customHeight="tru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</row>
    <row r="143" customFormat="false" ht="18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</row>
    <row r="144" customFormat="false" ht="18" hidden="false" customHeight="tru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</row>
    <row r="145" customFormat="false" ht="18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</row>
    <row r="146" customFormat="false" ht="18" hidden="false" customHeight="tru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</row>
    <row r="147" customFormat="false" ht="18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</row>
    <row r="148" customFormat="false" ht="18" hidden="false" customHeight="tru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</row>
    <row r="149" customFormat="false" ht="18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</row>
    <row r="150" customFormat="false" ht="18" hidden="false" customHeight="tru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</row>
    <row r="151" customFormat="false" ht="18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</row>
    <row r="152" customFormat="false" ht="18" hidden="false" customHeight="tru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</row>
    <row r="153" customFormat="false" ht="18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</row>
    <row r="154" customFormat="false" ht="18" hidden="false" customHeight="tru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</row>
    <row r="155" customFormat="false" ht="18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</row>
    <row r="156" customFormat="false" ht="18" hidden="false" customHeight="tru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</row>
    <row r="157" customFormat="false" ht="18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</row>
    <row r="158" customFormat="false" ht="18" hidden="false" customHeight="tru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</row>
    <row r="159" customFormat="false" ht="18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</row>
    <row r="160" customFormat="false" ht="18" hidden="false" customHeight="tru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</row>
    <row r="161" customFormat="false" ht="18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</row>
    <row r="162" customFormat="false" ht="18" hidden="false" customHeight="tru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</row>
    <row r="163" customFormat="false" ht="18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</row>
    <row r="164" customFormat="false" ht="18" hidden="false" customHeight="tru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</row>
    <row r="165" customFormat="false" ht="18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</row>
    <row r="166" customFormat="false" ht="18" hidden="false" customHeight="tru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</row>
    <row r="167" customFormat="false" ht="18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</row>
    <row r="168" customFormat="false" ht="18" hidden="false" customHeight="tru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</row>
    <row r="169" customFormat="false" ht="18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</row>
    <row r="170" customFormat="false" ht="18" hidden="false" customHeight="tru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</row>
    <row r="171" customFormat="false" ht="18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</row>
    <row r="172" customFormat="false" ht="18" hidden="false" customHeight="tru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</row>
    <row r="173" customFormat="false" ht="18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</row>
    <row r="174" customFormat="false" ht="18" hidden="false" customHeight="tru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</row>
    <row r="175" customFormat="false" ht="18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</row>
    <row r="176" customFormat="false" ht="18" hidden="false" customHeight="tru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</row>
    <row r="177" customFormat="false" ht="18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</row>
    <row r="178" customFormat="false" ht="18" hidden="false" customHeight="tru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</row>
    <row r="179" customFormat="false" ht="18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</row>
    <row r="180" customFormat="false" ht="18" hidden="false" customHeight="tru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</row>
    <row r="181" customFormat="false" ht="18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</row>
    <row r="182" customFormat="false" ht="18" hidden="false" customHeight="tru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</row>
    <row r="183" customFormat="false" ht="18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</row>
    <row r="184" customFormat="false" ht="18" hidden="false" customHeight="tru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</row>
    <row r="185" customFormat="false" ht="18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</row>
    <row r="186" customFormat="false" ht="18" hidden="false" customHeight="tru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</row>
    <row r="187" customFormat="false" ht="18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</row>
    <row r="188" customFormat="false" ht="18" hidden="false" customHeight="tru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</row>
    <row r="189" customFormat="false" ht="18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</row>
    <row r="190" customFormat="false" ht="18" hidden="false" customHeight="tru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</row>
    <row r="191" customFormat="false" ht="18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</row>
    <row r="192" customFormat="false" ht="18" hidden="false" customHeight="tru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</row>
    <row r="193" customFormat="false" ht="18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</row>
    <row r="194" customFormat="false" ht="18" hidden="false" customHeight="tru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</row>
    <row r="195" customFormat="false" ht="18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</row>
    <row r="196" customFormat="false" ht="18" hidden="false" customHeight="tru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</row>
    <row r="197" customFormat="false" ht="18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</row>
    <row r="198" customFormat="false" ht="18" hidden="false" customHeight="tru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</row>
    <row r="199" customFormat="false" ht="18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</row>
    <row r="200" customFormat="false" ht="18" hidden="false" customHeight="tru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</row>
    <row r="201" customFormat="false" ht="18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</row>
    <row r="202" customFormat="false" ht="18" hidden="false" customHeight="tru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</row>
    <row r="203" customFormat="false" ht="18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</row>
    <row r="204" customFormat="false" ht="18" hidden="false" customHeight="tru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</row>
    <row r="205" customFormat="false" ht="18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</row>
    <row r="206" customFormat="false" ht="18" hidden="false" customHeight="tru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</row>
    <row r="207" customFormat="false" ht="18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</row>
    <row r="208" customFormat="false" ht="18" hidden="false" customHeight="tru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</row>
    <row r="209" customFormat="false" ht="18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</row>
    <row r="210" customFormat="false" ht="18" hidden="false" customHeight="tru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</row>
    <row r="211" customFormat="false" ht="18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</row>
    <row r="212" customFormat="false" ht="18" hidden="false" customHeight="tru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</row>
    <row r="213" customFormat="false" ht="18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</row>
    <row r="214" customFormat="false" ht="18" hidden="false" customHeight="tru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</row>
    <row r="215" customFormat="false" ht="18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</row>
    <row r="216" customFormat="false" ht="18" hidden="false" customHeight="tru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</row>
    <row r="217" customFormat="false" ht="18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</row>
    <row r="218" customFormat="false" ht="18" hidden="false" customHeight="tru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</row>
    <row r="219" customFormat="false" ht="18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</row>
    <row r="220" customFormat="false" ht="18" hidden="false" customHeight="tru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</row>
    <row r="221" customFormat="false" ht="18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</row>
    <row r="222" customFormat="false" ht="18" hidden="false" customHeight="tru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</row>
    <row r="223" customFormat="false" ht="18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</row>
    <row r="224" customFormat="false" ht="18" hidden="false" customHeight="tru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</row>
    <row r="225" customFormat="false" ht="18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</row>
    <row r="226" customFormat="false" ht="18" hidden="false" customHeight="tru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</row>
    <row r="227" customFormat="false" ht="18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</row>
    <row r="228" customFormat="false" ht="18" hidden="false" customHeight="tru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</row>
    <row r="229" customFormat="false" ht="18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</row>
    <row r="230" customFormat="false" ht="18" hidden="false" customHeight="tru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</row>
    <row r="231" customFormat="false" ht="18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</row>
    <row r="232" customFormat="false" ht="18" hidden="false" customHeight="tru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</row>
    <row r="233" customFormat="false" ht="18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</row>
    <row r="234" customFormat="false" ht="18" hidden="false" customHeight="tru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</row>
    <row r="235" customFormat="false" ht="18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</row>
    <row r="236" customFormat="false" ht="18" hidden="false" customHeight="tru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</row>
    <row r="237" customFormat="false" ht="18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</row>
    <row r="238" customFormat="false" ht="18" hidden="false" customHeight="tru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</row>
    <row r="239" customFormat="false" ht="18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</row>
    <row r="240" customFormat="false" ht="18" hidden="false" customHeight="tru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</row>
    <row r="241" customFormat="false" ht="18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</row>
    <row r="242" customFormat="false" ht="18" hidden="false" customHeight="tru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</row>
    <row r="243" customFormat="false" ht="18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</row>
    <row r="244" customFormat="false" ht="18" hidden="false" customHeight="tru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</row>
    <row r="245" customFormat="false" ht="18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</row>
    <row r="246" customFormat="false" ht="18" hidden="false" customHeight="tru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</row>
    <row r="247" customFormat="false" ht="18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</row>
    <row r="248" customFormat="false" ht="18" hidden="false" customHeight="tru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</row>
    <row r="249" customFormat="false" ht="18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</row>
    <row r="250" customFormat="false" ht="18" hidden="false" customHeight="tru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</row>
    <row r="251" customFormat="false" ht="18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</row>
    <row r="252" customFormat="false" ht="18" hidden="false" customHeight="tru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</row>
    <row r="253" customFormat="false" ht="18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</row>
    <row r="254" customFormat="false" ht="18" hidden="false" customHeight="tru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</row>
    <row r="255" customFormat="false" ht="18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</row>
    <row r="256" customFormat="false" ht="18" hidden="false" customHeight="tru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</row>
    <row r="257" customFormat="false" ht="18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</row>
    <row r="258" customFormat="false" ht="18" hidden="false" customHeight="tru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</row>
    <row r="259" customFormat="false" ht="18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</row>
    <row r="260" customFormat="false" ht="18" hidden="false" customHeight="tru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</row>
    <row r="261" customFormat="false" ht="18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</row>
    <row r="262" customFormat="false" ht="18" hidden="false" customHeight="tru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</row>
    <row r="263" customFormat="false" ht="18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</row>
    <row r="264" customFormat="false" ht="18" hidden="false" customHeight="true" outlineLevel="0" collapsed="false">
      <c r="A264" s="11"/>
      <c r="B264" s="11"/>
      <c r="C264" s="11"/>
      <c r="D264" s="11"/>
      <c r="E264" s="11"/>
      <c r="F264" s="11"/>
      <c r="G264" s="11"/>
      <c r="H264" s="11"/>
      <c r="I264" s="11"/>
    </row>
    <row r="265" customFormat="false" ht="18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</row>
    <row r="266" customFormat="false" ht="18" hidden="false" customHeight="tru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</row>
    <row r="267" customFormat="false" ht="18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</row>
    <row r="268" customFormat="false" ht="18" hidden="false" customHeight="true" outlineLevel="0" collapsed="false">
      <c r="A268" s="11"/>
      <c r="B268" s="11"/>
      <c r="C268" s="11"/>
      <c r="D268" s="11"/>
      <c r="E268" s="11"/>
      <c r="F268" s="11"/>
      <c r="G268" s="11"/>
      <c r="H268" s="11"/>
      <c r="I268" s="11"/>
    </row>
    <row r="269" customFormat="false" ht="18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</row>
    <row r="270" customFormat="false" ht="18" hidden="false" customHeight="true" outlineLevel="0" collapsed="false">
      <c r="A270" s="11"/>
      <c r="B270" s="11"/>
      <c r="C270" s="11"/>
      <c r="D270" s="11"/>
      <c r="E270" s="11"/>
      <c r="F270" s="11"/>
      <c r="G270" s="11"/>
      <c r="H270" s="11"/>
      <c r="I270" s="11"/>
    </row>
    <row r="271" customFormat="false" ht="18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</row>
    <row r="272" customFormat="false" ht="18" hidden="false" customHeight="true" outlineLevel="0" collapsed="false">
      <c r="A272" s="11"/>
      <c r="B272" s="11"/>
      <c r="C272" s="11"/>
      <c r="D272" s="11"/>
      <c r="E272" s="11"/>
      <c r="F272" s="11"/>
      <c r="G272" s="11"/>
      <c r="H272" s="11"/>
      <c r="I272" s="11"/>
    </row>
    <row r="273" customFormat="false" ht="18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</row>
    <row r="274" customFormat="false" ht="18" hidden="false" customHeight="true" outlineLevel="0" collapsed="false">
      <c r="A274" s="11"/>
      <c r="B274" s="11"/>
      <c r="C274" s="11"/>
      <c r="D274" s="11"/>
      <c r="E274" s="11"/>
      <c r="F274" s="11"/>
      <c r="G274" s="11"/>
      <c r="H274" s="11"/>
      <c r="I274" s="11"/>
    </row>
    <row r="275" customFormat="false" ht="18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</row>
    <row r="276" customFormat="false" ht="18" hidden="false" customHeight="tru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</row>
    <row r="277" customFormat="false" ht="18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</row>
    <row r="278" customFormat="false" ht="18" hidden="false" customHeight="true" outlineLevel="0" collapsed="false">
      <c r="A278" s="11"/>
      <c r="B278" s="11"/>
      <c r="C278" s="11"/>
      <c r="D278" s="11"/>
      <c r="E278" s="11"/>
      <c r="F278" s="11"/>
      <c r="G278" s="11"/>
      <c r="H278" s="11"/>
      <c r="I278" s="11"/>
    </row>
    <row r="279" customFormat="false" ht="18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</row>
    <row r="280" customFormat="false" ht="18" hidden="false" customHeight="tru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</row>
    <row r="281" customFormat="false" ht="18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</row>
    <row r="282" customFormat="false" ht="18" hidden="false" customHeight="true" outlineLevel="0" collapsed="false">
      <c r="A282" s="11"/>
      <c r="B282" s="11"/>
      <c r="C282" s="11"/>
      <c r="D282" s="11"/>
      <c r="E282" s="11"/>
      <c r="F282" s="11"/>
      <c r="G282" s="11"/>
      <c r="H282" s="11"/>
      <c r="I282" s="11"/>
    </row>
    <row r="283" customFormat="false" ht="18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</row>
    <row r="284" customFormat="false" ht="18" hidden="false" customHeight="tru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</row>
    <row r="285" customFormat="false" ht="18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</row>
    <row r="286" customFormat="false" ht="18" hidden="false" customHeight="tru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</row>
    <row r="287" customFormat="false" ht="18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</row>
    <row r="288" customFormat="false" ht="18" hidden="false" customHeight="tru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</row>
    <row r="289" customFormat="false" ht="18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</row>
    <row r="290" customFormat="false" ht="18" hidden="false" customHeight="tru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</row>
    <row r="291" customFormat="false" ht="18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</row>
    <row r="292" customFormat="false" ht="18" hidden="false" customHeight="tru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</row>
    <row r="293" customFormat="false" ht="18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</row>
    <row r="294" customFormat="false" ht="18" hidden="false" customHeight="tru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</row>
    <row r="295" customFormat="false" ht="18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</row>
    <row r="296" customFormat="false" ht="18" hidden="false" customHeight="tru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</row>
    <row r="297" customFormat="false" ht="18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</row>
    <row r="298" customFormat="false" ht="18" hidden="false" customHeight="true" outlineLevel="0" collapsed="false">
      <c r="A298" s="11"/>
      <c r="B298" s="11"/>
      <c r="C298" s="11"/>
      <c r="D298" s="11"/>
      <c r="E298" s="11"/>
      <c r="F298" s="11"/>
      <c r="G298" s="11"/>
      <c r="H298" s="11"/>
      <c r="I298" s="11"/>
    </row>
    <row r="299" customFormat="false" ht="18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</row>
    <row r="300" customFormat="false" ht="18" hidden="false" customHeight="tru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</row>
    <row r="301" customFormat="false" ht="18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</row>
    <row r="302" customFormat="false" ht="18" hidden="false" customHeight="true" outlineLevel="0" collapsed="false">
      <c r="A302" s="11"/>
      <c r="B302" s="11"/>
      <c r="C302" s="11"/>
      <c r="D302" s="11"/>
      <c r="E302" s="11"/>
      <c r="F302" s="11"/>
      <c r="G302" s="11"/>
      <c r="H302" s="11"/>
      <c r="I302" s="11"/>
    </row>
    <row r="303" customFormat="false" ht="18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</row>
    <row r="304" customFormat="false" ht="18" hidden="false" customHeight="true" outlineLevel="0" collapsed="false">
      <c r="A304" s="11"/>
      <c r="B304" s="11"/>
      <c r="C304" s="11"/>
      <c r="D304" s="11"/>
      <c r="E304" s="11"/>
      <c r="F304" s="11"/>
      <c r="G304" s="11"/>
      <c r="H304" s="11"/>
      <c r="I304" s="11"/>
    </row>
    <row r="305" customFormat="false" ht="18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</row>
    <row r="306" customFormat="false" ht="18" hidden="false" customHeight="true" outlineLevel="0" collapsed="false">
      <c r="A306" s="11"/>
      <c r="B306" s="11"/>
      <c r="C306" s="11"/>
      <c r="D306" s="11"/>
      <c r="E306" s="11"/>
      <c r="F306" s="11"/>
      <c r="G306" s="11"/>
      <c r="H306" s="11"/>
      <c r="I306" s="11"/>
    </row>
    <row r="307" customFormat="false" ht="18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8C"/>
    <pageSetUpPr fitToPage="false"/>
  </sheetPr>
  <dimension ref="A1:J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6" min="6" style="1" width="24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20"/>
    <col collapsed="false" customWidth="true" hidden="false" outlineLevel="0" max="10" min="10" style="1" width="1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true" outlineLevel="0" collapsed="false">
      <c r="A2" s="3" t="s">
        <v>196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.75" hidden="false" customHeight="true" outlineLevel="0" collapsed="false">
      <c r="A3" s="4" t="s">
        <v>197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25.5" hidden="false" customHeight="true" outlineLevel="0" collapsed="false">
      <c r="A4" s="18" t="s">
        <v>198</v>
      </c>
      <c r="B4" s="18" t="s">
        <v>157</v>
      </c>
      <c r="C4" s="18" t="s">
        <v>199</v>
      </c>
      <c r="D4" s="18" t="s">
        <v>200</v>
      </c>
      <c r="E4" s="18" t="s">
        <v>201</v>
      </c>
      <c r="F4" s="18" t="s">
        <v>202</v>
      </c>
      <c r="G4" s="18" t="s">
        <v>203</v>
      </c>
      <c r="H4" s="18" t="s">
        <v>204</v>
      </c>
      <c r="I4" s="18" t="s">
        <v>205</v>
      </c>
      <c r="J4" s="18" t="s">
        <v>206</v>
      </c>
    </row>
    <row r="5" customFormat="false" ht="18" hidden="false" customHeight="true" outlineLevel="0" collapsed="false">
      <c r="A5" s="19" t="s">
        <v>207</v>
      </c>
      <c r="B5" s="19" t="s">
        <v>171</v>
      </c>
      <c r="C5" s="19" t="s">
        <v>66</v>
      </c>
      <c r="D5" s="19" t="s">
        <v>84</v>
      </c>
      <c r="E5" s="19" t="s">
        <v>85</v>
      </c>
      <c r="F5" s="19" t="s">
        <v>208</v>
      </c>
      <c r="G5" s="19" t="s">
        <v>88</v>
      </c>
      <c r="H5" s="19" t="s">
        <v>17</v>
      </c>
      <c r="I5" s="19" t="s">
        <v>209</v>
      </c>
      <c r="J5" s="19" t="s">
        <v>173</v>
      </c>
    </row>
    <row r="6" customFormat="false" ht="18" hidden="false" customHeight="true" outlineLevel="0" collapsed="false">
      <c r="A6" s="19" t="s">
        <v>210</v>
      </c>
      <c r="B6" s="19" t="s">
        <v>171</v>
      </c>
      <c r="C6" s="19" t="s">
        <v>66</v>
      </c>
      <c r="D6" s="19" t="s">
        <v>211</v>
      </c>
      <c r="E6" s="19" t="s">
        <v>212</v>
      </c>
      <c r="F6" s="19" t="s">
        <v>213</v>
      </c>
      <c r="G6" s="19" t="s">
        <v>214</v>
      </c>
      <c r="H6" s="19" t="s">
        <v>17</v>
      </c>
      <c r="I6" s="19" t="s">
        <v>209</v>
      </c>
      <c r="J6" s="19" t="s">
        <v>173</v>
      </c>
    </row>
    <row r="7" customFormat="false" ht="18" hidden="false" customHeight="true" outlineLevel="0" collapsed="false">
      <c r="A7" s="8" t="s">
        <v>215</v>
      </c>
      <c r="B7" s="8" t="s">
        <v>177</v>
      </c>
      <c r="C7" s="8" t="s">
        <v>84</v>
      </c>
      <c r="D7" s="8" t="s">
        <v>66</v>
      </c>
      <c r="E7" s="8" t="s">
        <v>67</v>
      </c>
      <c r="F7" s="8" t="s">
        <v>216</v>
      </c>
      <c r="G7" s="8" t="s">
        <v>41</v>
      </c>
      <c r="H7" s="8" t="s">
        <v>17</v>
      </c>
      <c r="I7" s="8" t="s">
        <v>180</v>
      </c>
      <c r="J7" s="8" t="s">
        <v>179</v>
      </c>
    </row>
    <row r="8" customFormat="false" ht="18" hidden="false" customHeight="true" outlineLevel="0" collapsed="false">
      <c r="A8" s="8" t="s">
        <v>217</v>
      </c>
      <c r="B8" s="8" t="s">
        <v>177</v>
      </c>
      <c r="C8" s="8" t="s">
        <v>84</v>
      </c>
      <c r="D8" s="8" t="s">
        <v>218</v>
      </c>
      <c r="E8" s="8" t="s">
        <v>219</v>
      </c>
      <c r="F8" s="8" t="s">
        <v>220</v>
      </c>
      <c r="G8" s="8" t="s">
        <v>221</v>
      </c>
      <c r="H8" s="8" t="s">
        <v>222</v>
      </c>
      <c r="I8" s="8" t="s">
        <v>180</v>
      </c>
      <c r="J8" s="8" t="s">
        <v>179</v>
      </c>
    </row>
    <row r="9" customFormat="false" ht="18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</row>
    <row r="10" customFormat="false" ht="18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customFormat="false" ht="18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customFormat="false" ht="18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</row>
    <row r="13" customFormat="false" ht="18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customFormat="false" ht="18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customFormat="false" ht="18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customFormat="false" ht="18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</row>
    <row r="17" customFormat="false" ht="18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customFormat="false" ht="18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customFormat="false" ht="18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customFormat="false" ht="18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  <c r="I20" s="19"/>
      <c r="J20" s="19"/>
    </row>
    <row r="21" customFormat="false" ht="18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customFormat="false" ht="18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customFormat="false" ht="18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8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customFormat="false" ht="18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customFormat="false" ht="18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customFormat="false" ht="18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customFormat="false" ht="18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customFormat="false" ht="18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customFormat="false" ht="18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customFormat="false" ht="18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customFormat="false" ht="18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customFormat="false" ht="18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customFormat="false" ht="18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customFormat="false" ht="18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customFormat="false" ht="18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customFormat="false" ht="18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customFormat="false" ht="18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customFormat="false" ht="18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customFormat="false" ht="18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 customFormat="false" ht="18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customFormat="false" ht="18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customFormat="false" ht="18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customFormat="false" ht="18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</row>
    <row r="45" customFormat="false" ht="18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customFormat="false" ht="18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</row>
    <row r="47" customFormat="false" ht="18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customFormat="false" ht="18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</row>
    <row r="49" customFormat="false" ht="18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customFormat="false" ht="18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</row>
    <row r="51" customFormat="false" ht="18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customFormat="false" ht="18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customFormat="false" ht="18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customFormat="false" ht="18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5" customFormat="false" ht="18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customFormat="false" ht="18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</row>
    <row r="57" customFormat="false" ht="18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customFormat="false" ht="18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</row>
    <row r="59" customFormat="false" ht="18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customFormat="false" ht="18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</row>
    <row r="61" customFormat="false" ht="18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customFormat="false" ht="18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</row>
    <row r="63" customFormat="false" ht="18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customFormat="false" ht="18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</row>
    <row r="65" customFormat="false" ht="18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customFormat="false" ht="18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</row>
    <row r="67" customFormat="false" ht="18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customFormat="false" ht="18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</row>
    <row r="69" customFormat="false" ht="18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customFormat="false" ht="18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</row>
    <row r="71" customFormat="false" ht="18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customFormat="false" ht="18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</row>
    <row r="73" customFormat="false" ht="18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customFormat="false" ht="18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</row>
    <row r="75" customFormat="false" ht="18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customFormat="false" ht="18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</row>
    <row r="77" customFormat="false" ht="18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customFormat="false" ht="18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</row>
    <row r="79" customFormat="false" ht="18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customFormat="false" ht="18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</row>
    <row r="81" customFormat="false" ht="18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customFormat="false" ht="18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</row>
    <row r="83" customFormat="false" ht="18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customFormat="false" ht="18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customFormat="false" ht="18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customFormat="false" ht="18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</row>
    <row r="87" customFormat="false" ht="18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customFormat="false" ht="18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customFormat="false" ht="18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customFormat="false" ht="18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</row>
    <row r="91" customFormat="false" ht="18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customFormat="false" ht="18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</row>
    <row r="93" customFormat="false" ht="18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customFormat="false" ht="18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</row>
    <row r="95" customFormat="false" ht="18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customFormat="false" ht="18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</row>
    <row r="97" customFormat="false" ht="18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customFormat="false" ht="18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</row>
    <row r="99" customFormat="false" ht="18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customFormat="false" ht="18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</row>
    <row r="101" customFormat="false" ht="18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customFormat="false" ht="18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</row>
    <row r="103" customFormat="false" ht="18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customFormat="false" ht="18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</row>
    <row r="105" customFormat="false" ht="18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customFormat="false" ht="18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</row>
    <row r="107" customFormat="false" ht="18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customFormat="false" ht="18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</row>
    <row r="109" customFormat="false" ht="18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</row>
    <row r="110" customFormat="false" ht="18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</row>
    <row r="111" customFormat="false" ht="18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customFormat="false" ht="18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</row>
    <row r="113" customFormat="false" ht="18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</row>
    <row r="114" customFormat="false" ht="18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</row>
    <row r="115" customFormat="false" ht="18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</row>
    <row r="116" customFormat="false" ht="18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</row>
    <row r="117" customFormat="false" ht="18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</row>
    <row r="118" customFormat="false" ht="18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</row>
    <row r="119" customFormat="false" ht="18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</row>
    <row r="120" customFormat="false" ht="18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</row>
    <row r="121" customFormat="false" ht="18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</row>
    <row r="122" customFormat="false" ht="18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</row>
    <row r="123" customFormat="false" ht="18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</row>
    <row r="124" customFormat="false" ht="18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</row>
    <row r="125" customFormat="false" ht="18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customFormat="false" ht="18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</row>
    <row r="127" customFormat="false" ht="18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</row>
    <row r="128" customFormat="false" ht="18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</row>
    <row r="129" customFormat="false" ht="18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customFormat="false" ht="18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</row>
    <row r="131" customFormat="false" ht="18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customFormat="false" ht="18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</row>
    <row r="133" customFormat="false" ht="18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customFormat="false" ht="18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</row>
    <row r="135" customFormat="false" ht="18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customFormat="false" ht="18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</row>
    <row r="137" customFormat="false" ht="18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customFormat="false" ht="18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</row>
    <row r="139" customFormat="false" ht="18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</row>
    <row r="140" customFormat="false" ht="18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</row>
    <row r="141" customFormat="false" ht="18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</row>
    <row r="142" customFormat="false" ht="18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</row>
    <row r="143" customFormat="false" ht="18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</row>
    <row r="144" customFormat="false" ht="18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</row>
    <row r="145" customFormat="false" ht="18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customFormat="false" ht="18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</row>
    <row r="147" customFormat="false" ht="18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customFormat="false" ht="18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</row>
    <row r="149" customFormat="false" ht="18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customFormat="false" ht="18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</row>
    <row r="151" customFormat="false" ht="18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customFormat="false" ht="18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</row>
    <row r="153" customFormat="false" ht="18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customFormat="false" ht="18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</row>
    <row r="155" customFormat="false" ht="18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customFormat="false" ht="18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</row>
    <row r="157" customFormat="false" ht="18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customFormat="false" ht="18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</row>
    <row r="159" customFormat="false" ht="18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customFormat="false" ht="18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</row>
    <row r="161" customFormat="false" ht="18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customFormat="false" ht="18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</row>
    <row r="163" customFormat="false" ht="18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customFormat="false" ht="18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</row>
    <row r="165" customFormat="false" ht="18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customFormat="false" ht="18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</row>
    <row r="167" customFormat="false" ht="18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customFormat="false" ht="18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</row>
    <row r="169" customFormat="false" ht="18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customFormat="false" ht="18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</row>
    <row r="171" customFormat="false" ht="18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customFormat="false" ht="18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</row>
    <row r="173" customFormat="false" ht="18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customFormat="false" ht="18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</row>
    <row r="175" customFormat="false" ht="18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customFormat="false" ht="18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</row>
    <row r="177" customFormat="false" ht="18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customFormat="false" ht="18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</row>
    <row r="179" customFormat="false" ht="18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customFormat="false" ht="18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</row>
    <row r="181" customFormat="false" ht="18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customFormat="false" ht="18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</row>
    <row r="183" customFormat="false" ht="18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customFormat="false" ht="18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</row>
    <row r="185" customFormat="false" ht="18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customFormat="false" ht="18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</row>
    <row r="187" customFormat="false" ht="18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customFormat="false" ht="18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</row>
    <row r="189" customFormat="false" ht="18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customFormat="false" ht="18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</row>
    <row r="191" customFormat="false" ht="18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customFormat="false" ht="18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</row>
    <row r="193" customFormat="false" ht="18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customFormat="false" ht="18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</row>
    <row r="195" customFormat="false" ht="18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customFormat="false" ht="18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</row>
    <row r="197" customFormat="false" ht="18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customFormat="false" ht="18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</row>
    <row r="199" customFormat="false" ht="18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customFormat="false" ht="18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</row>
    <row r="201" customFormat="false" ht="18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 customFormat="false" ht="18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</row>
    <row r="203" customFormat="false" ht="18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</row>
    <row r="204" customFormat="false" ht="18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</row>
    <row r="205" customFormat="false" ht="18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</row>
    <row r="206" customFormat="false" ht="18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customFormat="false" ht="18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</row>
    <row r="208" customFormat="false" ht="18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</row>
  </sheetData>
  <mergeCells count="3">
    <mergeCell ref="A1:J1"/>
    <mergeCell ref="A2:J2"/>
    <mergeCell ref="A3:J3"/>
  </mergeCells>
  <dataValidations count="2">
    <dataValidation allowBlank="true" errorStyle="stop" operator="between" showDropDown="false" showErrorMessage="false" showInputMessage="false" sqref="H9:H208" type="list">
      <formula1>"YES,NO"</formula1>
      <formula2>0</formula2>
    </dataValidation>
    <dataValidation allowBlank="true" errorStyle="stop" operator="between" showDropDown="false" showErrorMessage="false" showInputMessage="false" sqref="I9:I208" type="list">
      <formula1>"Pending,Verified,Failed"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K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30"/>
    <col collapsed="false" customWidth="true" hidden="false" outlineLevel="0" max="5" min="5" style="1" width="10"/>
    <col collapsed="false" customWidth="true" hidden="false" outlineLevel="0" max="7" min="6" style="1" width="16"/>
    <col collapsed="false" customWidth="true" hidden="false" outlineLevel="0" max="8" min="8" style="1" width="14"/>
    <col collapsed="false" customWidth="true" hidden="false" outlineLevel="0" max="11" min="9" style="1" width="1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3" t="s">
        <v>223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5.5" hidden="false" customHeight="true" outlineLevel="0" collapsed="false">
      <c r="A3" s="20" t="s">
        <v>224</v>
      </c>
      <c r="B3" s="20" t="s">
        <v>104</v>
      </c>
      <c r="C3" s="20" t="s">
        <v>43</v>
      </c>
      <c r="D3" s="20" t="s">
        <v>225</v>
      </c>
      <c r="E3" s="20" t="s">
        <v>226</v>
      </c>
      <c r="F3" s="20" t="s">
        <v>227</v>
      </c>
      <c r="G3" s="20" t="s">
        <v>228</v>
      </c>
      <c r="H3" s="20" t="s">
        <v>229</v>
      </c>
      <c r="I3" s="20" t="s">
        <v>230</v>
      </c>
      <c r="J3" s="20" t="s">
        <v>185</v>
      </c>
      <c r="K3" s="20" t="s">
        <v>231</v>
      </c>
    </row>
    <row r="4" customFormat="false" ht="18" hidden="false" customHeight="true" outlineLevel="0" collapsed="false">
      <c r="A4" s="8" t="s">
        <v>232</v>
      </c>
      <c r="B4" s="8" t="s">
        <v>66</v>
      </c>
      <c r="C4" s="8" t="s">
        <v>49</v>
      </c>
      <c r="D4" s="8" t="s">
        <v>233</v>
      </c>
      <c r="E4" s="8" t="n">
        <v>2</v>
      </c>
      <c r="F4" s="8" t="n">
        <v>35000</v>
      </c>
      <c r="G4" s="8" t="n">
        <f aca="false">F4*E4</f>
        <v>70000</v>
      </c>
      <c r="H4" s="8" t="s">
        <v>234</v>
      </c>
      <c r="I4" s="8" t="s">
        <v>235</v>
      </c>
      <c r="J4" s="8" t="n">
        <v>30000</v>
      </c>
      <c r="K4" s="8" t="n">
        <f aca="false">G4-J4</f>
        <v>40000</v>
      </c>
    </row>
    <row r="5" customFormat="false" ht="18" hidden="false" customHeight="true" outlineLevel="0" collapsed="false">
      <c r="A5" s="12" t="s">
        <v>236</v>
      </c>
      <c r="B5" s="12" t="s">
        <v>84</v>
      </c>
      <c r="C5" s="12" t="s">
        <v>49</v>
      </c>
      <c r="D5" s="12" t="s">
        <v>237</v>
      </c>
      <c r="E5" s="12" t="n">
        <v>5</v>
      </c>
      <c r="F5" s="12" t="n">
        <v>12000</v>
      </c>
      <c r="G5" s="12" t="n">
        <f aca="false">F5*E5</f>
        <v>60000</v>
      </c>
      <c r="H5" s="12" t="s">
        <v>238</v>
      </c>
      <c r="I5" s="12" t="s">
        <v>239</v>
      </c>
      <c r="J5" s="12" t="n">
        <f aca="false">G5</f>
        <v>60000</v>
      </c>
      <c r="K5" s="12" t="n">
        <f aca="false">G5-J5</f>
        <v>0</v>
      </c>
    </row>
    <row r="6" customFormat="false" ht="18" hidden="false" customHeight="true" outlineLevel="0" collapsed="false">
      <c r="A6" s="16" t="s">
        <v>240</v>
      </c>
      <c r="B6" s="16" t="s">
        <v>211</v>
      </c>
      <c r="C6" s="16" t="s">
        <v>54</v>
      </c>
      <c r="D6" s="16" t="s">
        <v>241</v>
      </c>
      <c r="E6" s="16" t="n">
        <v>3</v>
      </c>
      <c r="F6" s="16" t="n">
        <v>18000</v>
      </c>
      <c r="G6" s="16" t="n">
        <f aca="false">F6*E6</f>
        <v>54000</v>
      </c>
      <c r="H6" s="16" t="s">
        <v>179</v>
      </c>
      <c r="I6" s="16" t="s">
        <v>242</v>
      </c>
      <c r="J6" s="16" t="n">
        <v>0</v>
      </c>
      <c r="K6" s="16" t="n">
        <f aca="false">G6-J6</f>
        <v>54000</v>
      </c>
    </row>
    <row r="7" customFormat="false" ht="18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customFormat="false" ht="18" hidden="false" customHeight="tru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customFormat="false" ht="18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customFormat="false" ht="18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customFormat="false" ht="18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customFormat="false" ht="18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customFormat="false" ht="18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customFormat="false" ht="18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customFormat="false" ht="18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customFormat="false" ht="18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customFormat="false" ht="18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customFormat="false" ht="18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customFormat="false" ht="18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customFormat="false" ht="18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customFormat="false" ht="18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customFormat="false" ht="18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customFormat="false" ht="18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customFormat="false" ht="18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customFormat="false" ht="18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customFormat="false" ht="18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customFormat="false" ht="18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customFormat="false" ht="18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customFormat="false" ht="18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8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customFormat="false" ht="18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customFormat="false" ht="18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customFormat="false" ht="18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customFormat="false" ht="18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customFormat="false" ht="18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customFormat="false" ht="18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customFormat="false" ht="18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customFormat="false" ht="18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customFormat="false" ht="18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customFormat="false" ht="18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customFormat="false" ht="18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customFormat="false" ht="18" hidden="false" customHeight="tru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customFormat="false" ht="18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customFormat="false" ht="18" hidden="false" customHeight="tru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customFormat="false" ht="18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customFormat="false" ht="18" hidden="false" customHeight="tru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customFormat="false" ht="18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customFormat="false" ht="18" hidden="false" customHeight="tru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customFormat="false" ht="18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customFormat="false" ht="18" hidden="false" customHeight="tru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customFormat="false" ht="18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customFormat="false" ht="18" hidden="false" customHeight="tru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customFormat="false" ht="18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customFormat="false" ht="18" hidden="false" customHeight="tru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customFormat="false" ht="18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8" hidden="false" customHeight="tru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customFormat="false" ht="18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customFormat="false" ht="18" hidden="false" customHeight="tru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customFormat="false" ht="18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customFormat="false" ht="18" hidden="false" customHeight="tru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customFormat="false" ht="18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customFormat="false" ht="18" hidden="false" customHeight="tru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customFormat="false" ht="18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customFormat="false" ht="18" hidden="false" customHeight="tru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customFormat="false" ht="18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customFormat="false" ht="18" hidden="false" customHeight="tru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customFormat="false" ht="18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customFormat="false" ht="18" hidden="false" customHeight="tru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customFormat="false" ht="18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customFormat="false" ht="18" hidden="false" customHeight="tru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customFormat="false" ht="18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customFormat="false" ht="18" hidden="false" customHeight="tru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customFormat="false" ht="18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customFormat="false" ht="18" hidden="false" customHeight="tru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customFormat="false" ht="18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customFormat="false" ht="18" hidden="false" customHeight="tru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customFormat="false" ht="18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customFormat="false" ht="18" hidden="false" customHeight="tru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customFormat="false" ht="18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customFormat="false" ht="18" hidden="false" customHeight="tru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customFormat="false" ht="18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customFormat="false" ht="18" hidden="false" customHeight="tru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customFormat="false" ht="18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customFormat="false" ht="18" hidden="false" customHeight="tru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customFormat="false" ht="18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customFormat="false" ht="18" hidden="false" customHeight="tru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customFormat="false" ht="18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customFormat="false" ht="18" hidden="false" customHeight="tru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customFormat="false" ht="18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customFormat="false" ht="18" hidden="false" customHeight="tru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customFormat="false" ht="18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customFormat="false" ht="18" hidden="false" customHeight="tru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 customFormat="false" ht="18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customFormat="false" ht="18" hidden="false" customHeight="tru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customFormat="false" ht="18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customFormat="false" ht="18" hidden="false" customHeight="tru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customFormat="false" ht="18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customFormat="false" ht="18" hidden="false" customHeight="tru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customFormat="false" ht="18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customFormat="false" ht="18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customFormat="false" ht="18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customFormat="false" ht="18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customFormat="false" ht="18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customFormat="false" ht="18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customFormat="false" ht="18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customFormat="false" ht="18" hidden="false" customHeight="tru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I7:I106" type="list">
      <formula1>"Paid,Partial,Unpaid"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C"/>
    <pageSetUpPr fitToPage="false"/>
  </sheetPr>
  <dimension ref="A1:J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2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true" outlineLevel="0" collapsed="false">
      <c r="A2" s="3" t="s">
        <v>243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.75" hidden="false" customHeight="true" outlineLevel="0" collapsed="false">
      <c r="A3" s="4" t="s">
        <v>244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25.5" hidden="false" customHeight="true" outlineLevel="0" collapsed="false">
      <c r="A4" s="15" t="s">
        <v>104</v>
      </c>
      <c r="B4" s="15" t="s">
        <v>245</v>
      </c>
      <c r="C4" s="15" t="s">
        <v>246</v>
      </c>
      <c r="D4" s="15" t="s">
        <v>247</v>
      </c>
      <c r="E4" s="15" t="s">
        <v>248</v>
      </c>
      <c r="F4" s="15" t="s">
        <v>249</v>
      </c>
      <c r="G4" s="15" t="s">
        <v>250</v>
      </c>
      <c r="H4" s="15" t="s">
        <v>251</v>
      </c>
      <c r="I4" s="15" t="s">
        <v>252</v>
      </c>
      <c r="J4" s="15" t="s">
        <v>253</v>
      </c>
    </row>
    <row r="5" customFormat="false" ht="18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</row>
    <row r="6" customFormat="false" ht="18" hidden="false" customHeight="tru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</row>
    <row r="7" customFormat="false" ht="18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</row>
    <row r="8" customFormat="false" ht="18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</row>
    <row r="9" customFormat="false" ht="18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</row>
    <row r="10" customFormat="false" ht="18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customFormat="false" ht="18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customFormat="false" ht="18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customFormat="false" ht="18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customFormat="false" ht="18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customFormat="false" ht="18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customFormat="false" ht="18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customFormat="false" ht="18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customFormat="false" ht="18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customFormat="false" ht="18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customFormat="false" ht="18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customFormat="false" ht="18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customFormat="false" ht="18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customFormat="false" ht="18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8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customFormat="false" ht="18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customFormat="false" ht="18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customFormat="false" ht="18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customFormat="false" ht="18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customFormat="false" ht="18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customFormat="false" ht="18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customFormat="false" ht="18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customFormat="false" ht="18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customFormat="false" ht="18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customFormat="false" ht="18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customFormat="false" ht="18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customFormat="false" ht="18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customFormat="false" ht="18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customFormat="false" ht="18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customFormat="false" ht="18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customFormat="false" ht="18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customFormat="false" ht="18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customFormat="false" ht="18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customFormat="false" ht="18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customFormat="false" ht="18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customFormat="false" ht="18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customFormat="false" ht="18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customFormat="false" ht="18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customFormat="false" ht="18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customFormat="false" ht="18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customFormat="false" ht="18" hidden="false" customHeight="tru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customFormat="false" ht="18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customFormat="false" ht="18" hidden="false" customHeight="tru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customFormat="false" ht="18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customFormat="false" ht="18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customFormat="false" ht="18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customFormat="false" ht="18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customFormat="false" ht="18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customFormat="false" ht="18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customFormat="false" ht="18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customFormat="false" ht="18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customFormat="false" ht="18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customFormat="false" ht="18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customFormat="false" ht="18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customFormat="false" ht="18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customFormat="false" ht="18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customFormat="false" ht="18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customFormat="false" ht="18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customFormat="false" ht="18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customFormat="false" ht="18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customFormat="false" ht="18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customFormat="false" ht="18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customFormat="false" ht="18" hidden="fals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customFormat="false" ht="18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customFormat="false" ht="18" hidden="false" customHeight="tru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customFormat="false" ht="18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customFormat="false" ht="18" hidden="false" customHeight="tru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customFormat="false" ht="18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customFormat="false" ht="18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customFormat="false" ht="18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customFormat="false" ht="18" hidden="false" customHeight="tru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 customFormat="false" ht="18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customFormat="false" ht="18" hidden="false" customHeight="tru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3" customFormat="false" ht="18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customFormat="false" ht="18" hidden="false" customHeight="tru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</row>
    <row r="85" customFormat="false" ht="18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customFormat="false" ht="18" hidden="false" customHeight="tru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 customFormat="false" ht="18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customFormat="false" ht="18" hidden="false" customHeight="tru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customFormat="false" ht="18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customFormat="false" ht="18" hidden="false" customHeight="tru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</row>
    <row r="91" customFormat="false" ht="18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customFormat="false" ht="18" hidden="false" customHeight="tru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 customFormat="false" ht="18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customFormat="false" ht="18" hidden="false" customHeight="tru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</row>
    <row r="95" customFormat="false" ht="18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customFormat="false" ht="18" hidden="false" customHeight="tru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 customFormat="false" ht="18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customFormat="false" ht="18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 customFormat="false" ht="18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customFormat="false" ht="18" hidden="false" customHeight="tru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  <row r="101" customFormat="false" ht="18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customFormat="false" ht="18" hidden="false" customHeight="tru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</row>
    <row r="103" customFormat="false" ht="18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customFormat="false" ht="18" hidden="false" customHeight="tru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  <col collapsed="false" customWidth="true" hidden="false" outlineLevel="0" max="5" min="2" style="1" width="1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254</v>
      </c>
      <c r="B2" s="3"/>
      <c r="C2" s="3"/>
      <c r="D2" s="3"/>
      <c r="E2" s="3"/>
    </row>
    <row r="3" customFormat="false" ht="19.5" hidden="false" customHeight="true" outlineLevel="0" collapsed="false">
      <c r="A3" s="21" t="s">
        <v>255</v>
      </c>
      <c r="B3" s="21"/>
      <c r="C3" s="21"/>
      <c r="D3" s="21"/>
      <c r="E3" s="21"/>
    </row>
    <row r="4" customFormat="false" ht="19.5" hidden="false" customHeight="true" outlineLevel="0" collapsed="false">
      <c r="A4" s="22" t="s">
        <v>256</v>
      </c>
      <c r="B4" s="22"/>
      <c r="C4" s="22"/>
      <c r="D4" s="22"/>
      <c r="E4" s="22"/>
    </row>
    <row r="5" customFormat="false" ht="19.5" hidden="false" customHeight="true" outlineLevel="0" collapsed="false">
      <c r="A5" s="23" t="s">
        <v>257</v>
      </c>
      <c r="B5" s="23"/>
      <c r="C5" s="23"/>
      <c r="D5" s="23"/>
      <c r="E5" s="23"/>
    </row>
    <row r="6" customFormat="false" ht="19.5" hidden="false" customHeight="true" outlineLevel="0" collapsed="false">
      <c r="A6" s="24" t="s">
        <v>258</v>
      </c>
      <c r="B6" s="24"/>
      <c r="C6" s="24"/>
      <c r="D6" s="24"/>
      <c r="E6" s="24"/>
    </row>
    <row r="7" customFormat="false" ht="19.5" hidden="false" customHeight="true" outlineLevel="0" collapsed="false">
      <c r="A7" s="25" t="s">
        <v>259</v>
      </c>
      <c r="B7" s="25"/>
      <c r="C7" s="25"/>
      <c r="D7" s="25"/>
      <c r="E7" s="25"/>
    </row>
    <row r="8" customFormat="false" ht="19.5" hidden="false" customHeight="true" outlineLevel="0" collapsed="false">
      <c r="A8" s="24" t="s">
        <v>260</v>
      </c>
      <c r="B8" s="24"/>
      <c r="C8" s="24"/>
      <c r="D8" s="24"/>
      <c r="E8" s="24"/>
    </row>
    <row r="9" customFormat="false" ht="19.5" hidden="false" customHeight="true" outlineLevel="0" collapsed="false">
      <c r="A9" s="26" t="s">
        <v>261</v>
      </c>
      <c r="B9" s="26"/>
      <c r="C9" s="26"/>
      <c r="D9" s="26"/>
      <c r="E9" s="26"/>
    </row>
    <row r="10" customFormat="false" ht="19.5" hidden="false" customHeight="true" outlineLevel="0" collapsed="false">
      <c r="A10" s="23" t="s">
        <v>262</v>
      </c>
      <c r="B10" s="23"/>
      <c r="C10" s="23"/>
      <c r="D10" s="23"/>
      <c r="E10" s="23"/>
    </row>
    <row r="11" customFormat="false" ht="19.5" hidden="false" customHeight="true" outlineLevel="0" collapsed="false">
      <c r="A11" s="24" t="s">
        <v>263</v>
      </c>
      <c r="B11" s="24"/>
      <c r="C11" s="24"/>
      <c r="D11" s="24"/>
      <c r="E11" s="24"/>
    </row>
    <row r="12" customFormat="false" ht="19.5" hidden="false" customHeight="true" outlineLevel="0" collapsed="false">
      <c r="A12" s="27" t="s">
        <v>264</v>
      </c>
      <c r="B12" s="27"/>
      <c r="C12" s="27"/>
      <c r="D12" s="27"/>
      <c r="E12" s="27"/>
    </row>
    <row r="13" customFormat="false" ht="19.5" hidden="false" customHeight="true" outlineLevel="0" collapsed="false">
      <c r="A13" s="24" t="s">
        <v>265</v>
      </c>
      <c r="B13" s="24"/>
      <c r="C13" s="24"/>
      <c r="D13" s="24"/>
      <c r="E13" s="24"/>
    </row>
    <row r="14" customFormat="false" ht="19.5" hidden="false" customHeight="true" outlineLevel="0" collapsed="false">
      <c r="A14" s="26" t="s">
        <v>266</v>
      </c>
      <c r="B14" s="26"/>
      <c r="C14" s="26"/>
      <c r="D14" s="26"/>
      <c r="E14" s="26"/>
    </row>
    <row r="15" customFormat="false" ht="19.5" hidden="false" customHeight="true" outlineLevel="0" collapsed="false">
      <c r="A15" s="24"/>
      <c r="B15" s="24"/>
      <c r="C15" s="24"/>
      <c r="D15" s="24"/>
      <c r="E15" s="24"/>
    </row>
    <row r="16" customFormat="false" ht="19.5" hidden="false" customHeight="true" outlineLevel="0" collapsed="false">
      <c r="A16" s="21" t="s">
        <v>267</v>
      </c>
      <c r="B16" s="21"/>
      <c r="C16" s="21"/>
      <c r="D16" s="21"/>
      <c r="E16" s="21"/>
    </row>
    <row r="17" customFormat="false" ht="19.5" hidden="false" customHeight="true" outlineLevel="0" collapsed="false">
      <c r="A17" s="24" t="s">
        <v>268</v>
      </c>
      <c r="B17" s="24"/>
      <c r="C17" s="24"/>
      <c r="D17" s="24"/>
      <c r="E17" s="24"/>
    </row>
    <row r="18" customFormat="false" ht="19.5" hidden="false" customHeight="true" outlineLevel="0" collapsed="false">
      <c r="A18" s="25" t="s">
        <v>269</v>
      </c>
      <c r="B18" s="25"/>
      <c r="C18" s="25"/>
      <c r="D18" s="25"/>
      <c r="E18" s="25"/>
    </row>
    <row r="19" customFormat="false" ht="19.5" hidden="false" customHeight="true" outlineLevel="0" collapsed="false">
      <c r="A19" s="24" t="s">
        <v>270</v>
      </c>
      <c r="B19" s="24"/>
      <c r="C19" s="24"/>
      <c r="D19" s="24"/>
      <c r="E19" s="24"/>
    </row>
    <row r="20" customFormat="false" ht="19.5" hidden="false" customHeight="true" outlineLevel="0" collapsed="false">
      <c r="A20" s="25" t="s">
        <v>271</v>
      </c>
      <c r="B20" s="25"/>
      <c r="C20" s="25"/>
      <c r="D20" s="25"/>
      <c r="E20" s="25"/>
    </row>
    <row r="21" customFormat="false" ht="19.5" hidden="false" customHeight="true" outlineLevel="0" collapsed="false">
      <c r="A21" s="24" t="s">
        <v>272</v>
      </c>
      <c r="B21" s="24"/>
      <c r="C21" s="24"/>
      <c r="D21" s="24"/>
      <c r="E21" s="24"/>
    </row>
    <row r="22" customFormat="false" ht="19.5" hidden="false" customHeight="true" outlineLevel="0" collapsed="false">
      <c r="A22" s="25" t="s">
        <v>273</v>
      </c>
      <c r="B22" s="25"/>
      <c r="C22" s="25"/>
      <c r="D22" s="25"/>
      <c r="E22" s="25"/>
    </row>
    <row r="23" customFormat="false" ht="19.5" hidden="false" customHeight="true" outlineLevel="0" collapsed="false">
      <c r="A23" s="24" t="s">
        <v>274</v>
      </c>
      <c r="B23" s="24"/>
      <c r="C23" s="24"/>
      <c r="D23" s="24"/>
      <c r="E23" s="24"/>
    </row>
    <row r="24" customFormat="false" ht="19.5" hidden="false" customHeight="true" outlineLevel="0" collapsed="false">
      <c r="A24" s="25" t="s">
        <v>275</v>
      </c>
      <c r="B24" s="25"/>
      <c r="C24" s="25"/>
      <c r="D24" s="25"/>
      <c r="E24" s="25"/>
    </row>
    <row r="25" customFormat="false" ht="19.5" hidden="false" customHeight="true" outlineLevel="0" collapsed="false">
      <c r="A25" s="24"/>
      <c r="B25" s="24"/>
      <c r="C25" s="24"/>
      <c r="D25" s="24"/>
      <c r="E25" s="24"/>
    </row>
    <row r="26" customFormat="false" ht="19.5" hidden="false" customHeight="true" outlineLevel="0" collapsed="false">
      <c r="A26" s="21" t="s">
        <v>276</v>
      </c>
      <c r="B26" s="21"/>
      <c r="C26" s="21"/>
      <c r="D26" s="21"/>
      <c r="E26" s="21"/>
    </row>
    <row r="27" customFormat="false" ht="19.5" hidden="false" customHeight="true" outlineLevel="0" collapsed="false">
      <c r="A27" s="24" t="s">
        <v>277</v>
      </c>
      <c r="B27" s="24"/>
      <c r="C27" s="24"/>
      <c r="D27" s="24"/>
      <c r="E27" s="24"/>
    </row>
    <row r="28" customFormat="false" ht="19.5" hidden="false" customHeight="true" outlineLevel="0" collapsed="false">
      <c r="A28" s="25" t="s">
        <v>278</v>
      </c>
      <c r="B28" s="25"/>
      <c r="C28" s="25"/>
      <c r="D28" s="25"/>
      <c r="E28" s="25"/>
    </row>
    <row r="29" customFormat="false" ht="19.5" hidden="false" customHeight="true" outlineLevel="0" collapsed="false">
      <c r="A29" s="24" t="s">
        <v>279</v>
      </c>
      <c r="B29" s="24"/>
      <c r="C29" s="24"/>
      <c r="D29" s="24"/>
      <c r="E29" s="24"/>
    </row>
    <row r="30" customFormat="false" ht="19.5" hidden="false" customHeight="true" outlineLevel="0" collapsed="false">
      <c r="A30" s="25" t="s">
        <v>280</v>
      </c>
      <c r="B30" s="25"/>
      <c r="C30" s="25"/>
      <c r="D30" s="25"/>
      <c r="E30" s="25"/>
    </row>
    <row r="31" customFormat="false" ht="19.5" hidden="false" customHeight="true" outlineLevel="0" collapsed="false">
      <c r="A31" s="24" t="s">
        <v>281</v>
      </c>
      <c r="B31" s="24"/>
      <c r="C31" s="24"/>
      <c r="D31" s="24"/>
      <c r="E31" s="24"/>
    </row>
    <row r="32" customFormat="false" ht="19.5" hidden="false" customHeight="true" outlineLevel="0" collapsed="false">
      <c r="A32" s="25" t="s">
        <v>282</v>
      </c>
      <c r="B32" s="25"/>
      <c r="C32" s="25"/>
      <c r="D32" s="25"/>
      <c r="E32" s="25"/>
    </row>
  </sheetData>
  <mergeCells count="3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2026-06-03T08:13:00Z</dcterms:created>
  <dc:creator>openpyxl</dc:creator>
  <dc:description/>
  <dc:language>en-US</dc:language>
  <cp:lastModifiedBy/>
  <dcterms:modified xsi:type="dcterms:W3CDTF">2026-06-03T08:13:25Z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